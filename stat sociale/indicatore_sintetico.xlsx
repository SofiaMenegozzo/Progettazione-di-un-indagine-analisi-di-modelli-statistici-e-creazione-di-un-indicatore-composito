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sofiamenegozzo/Desktop/stat sociale/"/>
    </mc:Choice>
  </mc:AlternateContent>
  <xr:revisionPtr revIDLastSave="0" documentId="13_ncr:1_{4E36A5C5-97AA-A747-9A89-D8FF62F6D542}" xr6:coauthVersionLast="47" xr6:coauthVersionMax="47" xr10:uidLastSave="{00000000-0000-0000-0000-000000000000}"/>
  <bookViews>
    <workbookView xWindow="160" yWindow="660" windowWidth="11360" windowHeight="16060" xr2:uid="{138509EA-A87C-4797-ABDE-826A76F82CC8}"/>
  </bookViews>
  <sheets>
    <sheet name="Indicatori" sheetId="6" r:id="rId1"/>
    <sheet name="Lavoro_e_conciliazione" sheetId="3" r:id="rId2"/>
    <sheet name="Relazioni_sociali" sheetId="5" r:id="rId3"/>
    <sheet name="Istruzione_e_formazione" sheetId="2" r:id="rId4"/>
    <sheet name="indicatori approcci " sheetId="8" r:id="rId5"/>
    <sheet name="calcolo indicatore" sheetId="11" r:id="rId6"/>
    <sheet name="Variabili" sheetId="7" r:id="rId7"/>
    <sheet name="confronto soddisfazione vita" sheetId="12" r:id="rId8"/>
    <sheet name="macroaree"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 i="13" l="1"/>
  <c r="K27" i="12"/>
  <c r="H35" i="13"/>
  <c r="E40" i="13"/>
  <c r="E39" i="13"/>
  <c r="E36" i="13"/>
  <c r="E37" i="13"/>
  <c r="E38" i="13"/>
  <c r="E35" i="13"/>
  <c r="K26" i="12"/>
  <c r="J335" i="8"/>
  <c r="J31" i="13"/>
  <c r="J28" i="13"/>
  <c r="J29" i="13"/>
  <c r="J30" i="13"/>
  <c r="J27" i="13"/>
  <c r="C36" i="13"/>
  <c r="C37" i="13"/>
  <c r="C38" i="13"/>
  <c r="C39" i="13"/>
  <c r="C35" i="13"/>
  <c r="I28" i="13"/>
  <c r="I29" i="13"/>
  <c r="I30" i="13"/>
  <c r="I31" i="13"/>
  <c r="I27" i="13"/>
  <c r="I26" i="11"/>
  <c r="D28" i="13"/>
  <c r="D29" i="13"/>
  <c r="D30" i="13"/>
  <c r="D31" i="13"/>
  <c r="D27" i="13"/>
  <c r="C29" i="13"/>
  <c r="C28" i="13"/>
  <c r="C30" i="13"/>
  <c r="C31" i="13"/>
  <c r="C27" i="13"/>
  <c r="I27" i="11"/>
  <c r="V5" i="13"/>
  <c r="V6" i="13"/>
  <c r="V7" i="13"/>
  <c r="V8" i="13"/>
  <c r="V4" i="13"/>
  <c r="S5" i="13"/>
  <c r="S6" i="13"/>
  <c r="S7" i="13"/>
  <c r="S8" i="13"/>
  <c r="R8" i="13"/>
  <c r="R5" i="13"/>
  <c r="R6" i="13"/>
  <c r="R7" i="13"/>
  <c r="U7" i="13" s="1"/>
  <c r="Q5" i="13"/>
  <c r="Q6" i="13"/>
  <c r="Q7" i="13"/>
  <c r="Q8" i="13"/>
  <c r="P5" i="13"/>
  <c r="P6" i="13"/>
  <c r="P7" i="13"/>
  <c r="P8" i="13"/>
  <c r="O8" i="13"/>
  <c r="O5" i="13"/>
  <c r="O6" i="13"/>
  <c r="O7" i="13"/>
  <c r="N5" i="13"/>
  <c r="N6" i="13"/>
  <c r="N7" i="13"/>
  <c r="N8" i="13"/>
  <c r="N4" i="13"/>
  <c r="O4" i="13"/>
  <c r="P4" i="13"/>
  <c r="Q4" i="13"/>
  <c r="R4" i="13"/>
  <c r="S4" i="13"/>
  <c r="M6" i="13"/>
  <c r="M5" i="13"/>
  <c r="M7" i="13"/>
  <c r="M8" i="13"/>
  <c r="M4" i="13"/>
  <c r="D21" i="13"/>
  <c r="B16" i="13"/>
  <c r="F13" i="13"/>
  <c r="B12" i="13"/>
  <c r="B11" i="13"/>
  <c r="C11" i="13"/>
  <c r="D11" i="13"/>
  <c r="D17" i="13" s="1"/>
  <c r="E11" i="13"/>
  <c r="F11" i="13"/>
  <c r="G11" i="13"/>
  <c r="H11" i="13"/>
  <c r="B18" i="13"/>
  <c r="C12" i="13"/>
  <c r="D12" i="13"/>
  <c r="E12" i="13"/>
  <c r="F12" i="13"/>
  <c r="G12" i="13"/>
  <c r="H12" i="13"/>
  <c r="B13" i="13"/>
  <c r="B19" i="13" s="1"/>
  <c r="C13" i="13"/>
  <c r="C19" i="13" s="1"/>
  <c r="D13" i="13"/>
  <c r="E13" i="13"/>
  <c r="F19" i="13"/>
  <c r="G13" i="13"/>
  <c r="H13" i="13"/>
  <c r="H19" i="13" s="1"/>
  <c r="B14" i="13"/>
  <c r="B20" i="13" s="1"/>
  <c r="C14" i="13"/>
  <c r="D14" i="13"/>
  <c r="E14" i="13"/>
  <c r="F14" i="13"/>
  <c r="G14" i="13"/>
  <c r="H14" i="13"/>
  <c r="H10" i="13"/>
  <c r="C10" i="13"/>
  <c r="D10" i="13"/>
  <c r="E10" i="13"/>
  <c r="F10" i="13"/>
  <c r="G10" i="13"/>
  <c r="B10" i="13"/>
  <c r="G20" i="13"/>
  <c r="F20" i="13"/>
  <c r="E20" i="13"/>
  <c r="C20" i="13"/>
  <c r="E19" i="13"/>
  <c r="D19" i="13"/>
  <c r="E18" i="13"/>
  <c r="D18" i="13"/>
  <c r="C18" i="13"/>
  <c r="H17" i="13"/>
  <c r="C17" i="13"/>
  <c r="B17" i="13"/>
  <c r="G16" i="13"/>
  <c r="C16" i="13"/>
  <c r="H20" i="13"/>
  <c r="D20" i="13"/>
  <c r="G18" i="13"/>
  <c r="H16" i="13"/>
  <c r="F16" i="13"/>
  <c r="D16" i="13"/>
  <c r="U5" i="13"/>
  <c r="Q195" i="8"/>
  <c r="P195" i="8"/>
  <c r="B237" i="8"/>
  <c r="I28" i="11"/>
  <c r="C199" i="8"/>
  <c r="C28" i="11"/>
  <c r="M328" i="8"/>
  <c r="J327" i="8"/>
  <c r="O326" i="8"/>
  <c r="P324" i="8"/>
  <c r="M320" i="8"/>
  <c r="J319" i="8"/>
  <c r="O318" i="8"/>
  <c r="P316" i="8"/>
  <c r="J312" i="8"/>
  <c r="E37" i="12"/>
  <c r="D36" i="12"/>
  <c r="E27" i="12"/>
  <c r="E28" i="12"/>
  <c r="E29" i="12"/>
  <c r="E30" i="12"/>
  <c r="E31" i="12"/>
  <c r="E32" i="12"/>
  <c r="E33" i="12"/>
  <c r="E34" i="12"/>
  <c r="E35" i="12"/>
  <c r="E36" i="12"/>
  <c r="E38" i="12"/>
  <c r="E39" i="12"/>
  <c r="E40" i="12"/>
  <c r="E41" i="12"/>
  <c r="E42" i="12"/>
  <c r="E43" i="12"/>
  <c r="E44" i="12"/>
  <c r="E45" i="12"/>
  <c r="E26" i="12"/>
  <c r="D26" i="12"/>
  <c r="D27" i="12"/>
  <c r="D28" i="12"/>
  <c r="D29" i="12"/>
  <c r="D30" i="12"/>
  <c r="D31" i="12"/>
  <c r="D32" i="12"/>
  <c r="D33" i="12"/>
  <c r="D34" i="12"/>
  <c r="D35" i="12"/>
  <c r="D37" i="12"/>
  <c r="D38" i="12"/>
  <c r="D39" i="12"/>
  <c r="D40" i="12"/>
  <c r="D41" i="12"/>
  <c r="D42" i="12"/>
  <c r="D43" i="12"/>
  <c r="D44" i="12"/>
  <c r="D45" i="12"/>
  <c r="B261" i="8"/>
  <c r="D27" i="11"/>
  <c r="D28" i="11"/>
  <c r="D29" i="11"/>
  <c r="D30" i="11"/>
  <c r="D31" i="11"/>
  <c r="D32" i="11"/>
  <c r="D33" i="11"/>
  <c r="D34" i="11"/>
  <c r="D35" i="11"/>
  <c r="D36" i="11"/>
  <c r="D37" i="11"/>
  <c r="D38" i="11"/>
  <c r="D39" i="11"/>
  <c r="D40" i="11"/>
  <c r="D41" i="11"/>
  <c r="D42" i="11"/>
  <c r="D43" i="11"/>
  <c r="D44" i="11"/>
  <c r="D45" i="11"/>
  <c r="D26" i="11"/>
  <c r="C39" i="11"/>
  <c r="C27" i="11"/>
  <c r="C29" i="11"/>
  <c r="C30" i="11"/>
  <c r="I30" i="11" s="1"/>
  <c r="C31" i="11"/>
  <c r="C32" i="11"/>
  <c r="C33" i="11"/>
  <c r="C34" i="11"/>
  <c r="C35" i="11"/>
  <c r="C36" i="11"/>
  <c r="C37" i="11"/>
  <c r="C38" i="11"/>
  <c r="C40" i="11"/>
  <c r="C41" i="11"/>
  <c r="C42" i="11"/>
  <c r="C43" i="11"/>
  <c r="C44" i="11"/>
  <c r="C45" i="11"/>
  <c r="C26" i="11"/>
  <c r="B312" i="8"/>
  <c r="B125" i="8"/>
  <c r="B102" i="8"/>
  <c r="P313" i="8"/>
  <c r="P314" i="8"/>
  <c r="P315" i="8"/>
  <c r="P317" i="8"/>
  <c r="P318" i="8"/>
  <c r="P320" i="8"/>
  <c r="P321" i="8"/>
  <c r="P322" i="8"/>
  <c r="P323" i="8"/>
  <c r="P325" i="8"/>
  <c r="P326" i="8"/>
  <c r="P328" i="8"/>
  <c r="P329" i="8"/>
  <c r="P330" i="8"/>
  <c r="P331" i="8"/>
  <c r="O313" i="8"/>
  <c r="O314" i="8"/>
  <c r="O315" i="8"/>
  <c r="O317" i="8"/>
  <c r="O321" i="8"/>
  <c r="O322" i="8"/>
  <c r="O323" i="8"/>
  <c r="O325" i="8"/>
  <c r="O329" i="8"/>
  <c r="O330" i="8"/>
  <c r="O331" i="8"/>
  <c r="N313" i="8"/>
  <c r="N314" i="8"/>
  <c r="N315" i="8"/>
  <c r="N316" i="8"/>
  <c r="N317" i="8"/>
  <c r="N318" i="8"/>
  <c r="N319" i="8"/>
  <c r="N320" i="8"/>
  <c r="N321" i="8"/>
  <c r="N322" i="8"/>
  <c r="N323" i="8"/>
  <c r="N324" i="8"/>
  <c r="N325" i="8"/>
  <c r="N326" i="8"/>
  <c r="N327" i="8"/>
  <c r="N328" i="8"/>
  <c r="N329" i="8"/>
  <c r="N330" i="8"/>
  <c r="N331" i="8"/>
  <c r="M313" i="8"/>
  <c r="M314" i="8"/>
  <c r="M315" i="8"/>
  <c r="M316" i="8"/>
  <c r="M317" i="8"/>
  <c r="M319" i="8"/>
  <c r="M321" i="8"/>
  <c r="M322" i="8"/>
  <c r="M323" i="8"/>
  <c r="M324" i="8"/>
  <c r="M325" i="8"/>
  <c r="M327" i="8"/>
  <c r="M329" i="8"/>
  <c r="M330" i="8"/>
  <c r="M331" i="8"/>
  <c r="L313" i="8"/>
  <c r="L314" i="8"/>
  <c r="L315" i="8"/>
  <c r="L316" i="8"/>
  <c r="L317" i="8"/>
  <c r="L318" i="8"/>
  <c r="L319" i="8"/>
  <c r="L320" i="8"/>
  <c r="L321" i="8"/>
  <c r="L322" i="8"/>
  <c r="L323" i="8"/>
  <c r="L324" i="8"/>
  <c r="L325" i="8"/>
  <c r="L326" i="8"/>
  <c r="L327" i="8"/>
  <c r="L328" i="8"/>
  <c r="L329" i="8"/>
  <c r="L330" i="8"/>
  <c r="L331" i="8"/>
  <c r="J316" i="8"/>
  <c r="K313" i="8"/>
  <c r="K314" i="8"/>
  <c r="K315" i="8"/>
  <c r="K316" i="8"/>
  <c r="K317" i="8"/>
  <c r="K318" i="8"/>
  <c r="K319" i="8"/>
  <c r="K320" i="8"/>
  <c r="K321" i="8"/>
  <c r="K322" i="8"/>
  <c r="K323" i="8"/>
  <c r="K324" i="8"/>
  <c r="K325" i="8"/>
  <c r="K326" i="8"/>
  <c r="K327" i="8"/>
  <c r="K328" i="8"/>
  <c r="K329" i="8"/>
  <c r="K330" i="8"/>
  <c r="K331" i="8"/>
  <c r="J313" i="8"/>
  <c r="J314" i="8"/>
  <c r="J315" i="8"/>
  <c r="J317" i="8"/>
  <c r="J321" i="8"/>
  <c r="J322" i="8"/>
  <c r="J323" i="8"/>
  <c r="J324" i="8"/>
  <c r="J325" i="8"/>
  <c r="J326" i="8"/>
  <c r="J329" i="8"/>
  <c r="J330" i="8"/>
  <c r="J331" i="8"/>
  <c r="I313" i="8"/>
  <c r="I314" i="8"/>
  <c r="I315" i="8"/>
  <c r="I316" i="8"/>
  <c r="I317" i="8"/>
  <c r="I318" i="8"/>
  <c r="I319" i="8"/>
  <c r="I320" i="8"/>
  <c r="I321" i="8"/>
  <c r="I322" i="8"/>
  <c r="I323" i="8"/>
  <c r="I324" i="8"/>
  <c r="I325" i="8"/>
  <c r="I326" i="8"/>
  <c r="I327" i="8"/>
  <c r="I328" i="8"/>
  <c r="I329" i="8"/>
  <c r="I330" i="8"/>
  <c r="I331" i="8"/>
  <c r="H313" i="8"/>
  <c r="H314" i="8"/>
  <c r="H315" i="8"/>
  <c r="H316" i="8"/>
  <c r="H317" i="8"/>
  <c r="H318" i="8"/>
  <c r="H319" i="8"/>
  <c r="H320" i="8"/>
  <c r="H321" i="8"/>
  <c r="H322" i="8"/>
  <c r="H323" i="8"/>
  <c r="H324" i="8"/>
  <c r="H325" i="8"/>
  <c r="H326" i="8"/>
  <c r="H327" i="8"/>
  <c r="H328" i="8"/>
  <c r="H329" i="8"/>
  <c r="H330" i="8"/>
  <c r="H331" i="8"/>
  <c r="G313" i="8"/>
  <c r="G314" i="8"/>
  <c r="G315" i="8"/>
  <c r="G316" i="8"/>
  <c r="G317" i="8"/>
  <c r="G318" i="8"/>
  <c r="G319" i="8"/>
  <c r="G320" i="8"/>
  <c r="G321" i="8"/>
  <c r="G322" i="8"/>
  <c r="G323" i="8"/>
  <c r="G324" i="8"/>
  <c r="G325" i="8"/>
  <c r="G326" i="8"/>
  <c r="G327" i="8"/>
  <c r="G328" i="8"/>
  <c r="G329" i="8"/>
  <c r="G330" i="8"/>
  <c r="G331" i="8"/>
  <c r="O312" i="8"/>
  <c r="N312" i="8"/>
  <c r="L312" i="8"/>
  <c r="K312" i="8"/>
  <c r="I312" i="8"/>
  <c r="H312" i="8"/>
  <c r="G312" i="8"/>
  <c r="F313" i="8"/>
  <c r="F314" i="8"/>
  <c r="F315" i="8"/>
  <c r="F316" i="8"/>
  <c r="F317" i="8"/>
  <c r="F318" i="8"/>
  <c r="F319" i="8"/>
  <c r="F320" i="8"/>
  <c r="F321" i="8"/>
  <c r="F322" i="8"/>
  <c r="F323" i="8"/>
  <c r="F324" i="8"/>
  <c r="F325" i="8"/>
  <c r="F326" i="8"/>
  <c r="F327" i="8"/>
  <c r="F328" i="8"/>
  <c r="F329" i="8"/>
  <c r="F330" i="8"/>
  <c r="F331" i="8"/>
  <c r="E313" i="8"/>
  <c r="E314" i="8"/>
  <c r="E315" i="8"/>
  <c r="E316" i="8"/>
  <c r="E317" i="8"/>
  <c r="E318" i="8"/>
  <c r="E319" i="8"/>
  <c r="E320" i="8"/>
  <c r="E321" i="8"/>
  <c r="E322" i="8"/>
  <c r="E323" i="8"/>
  <c r="E324" i="8"/>
  <c r="E325" i="8"/>
  <c r="E326" i="8"/>
  <c r="E327" i="8"/>
  <c r="E328" i="8"/>
  <c r="E329" i="8"/>
  <c r="E330" i="8"/>
  <c r="E331" i="8"/>
  <c r="D313" i="8"/>
  <c r="D314" i="8"/>
  <c r="D315" i="8"/>
  <c r="D316" i="8"/>
  <c r="D317" i="8"/>
  <c r="D318" i="8"/>
  <c r="D319" i="8"/>
  <c r="D320" i="8"/>
  <c r="D321" i="8"/>
  <c r="D322" i="8"/>
  <c r="D323" i="8"/>
  <c r="D324" i="8"/>
  <c r="D325" i="8"/>
  <c r="D326" i="8"/>
  <c r="D327" i="8"/>
  <c r="D328" i="8"/>
  <c r="D329" i="8"/>
  <c r="D330" i="8"/>
  <c r="D331" i="8"/>
  <c r="F312" i="8"/>
  <c r="E312" i="8"/>
  <c r="D312" i="8"/>
  <c r="C312" i="8"/>
  <c r="C313" i="8"/>
  <c r="C314" i="8"/>
  <c r="C315" i="8"/>
  <c r="C316" i="8"/>
  <c r="C317" i="8"/>
  <c r="C318" i="8"/>
  <c r="C319" i="8"/>
  <c r="C320" i="8"/>
  <c r="C321" i="8"/>
  <c r="C322" i="8"/>
  <c r="C323" i="8"/>
  <c r="C324" i="8"/>
  <c r="C325" i="8"/>
  <c r="C326" i="8"/>
  <c r="C327" i="8"/>
  <c r="C328" i="8"/>
  <c r="C329" i="8"/>
  <c r="C330" i="8"/>
  <c r="C331" i="8"/>
  <c r="B327" i="8"/>
  <c r="B318" i="8"/>
  <c r="B319" i="8"/>
  <c r="B320" i="8"/>
  <c r="B321" i="8"/>
  <c r="B322" i="8"/>
  <c r="B323" i="8"/>
  <c r="B324" i="8"/>
  <c r="B325" i="8"/>
  <c r="B326" i="8"/>
  <c r="B328" i="8"/>
  <c r="B329" i="8"/>
  <c r="B330" i="8"/>
  <c r="B331" i="8"/>
  <c r="B313" i="8"/>
  <c r="B314" i="8"/>
  <c r="B315" i="8"/>
  <c r="B316" i="8"/>
  <c r="B317" i="8"/>
  <c r="B265" i="8"/>
  <c r="U266" i="8"/>
  <c r="U267" i="8"/>
  <c r="U268" i="8"/>
  <c r="U269" i="8"/>
  <c r="U270" i="8"/>
  <c r="U271" i="8"/>
  <c r="U272" i="8"/>
  <c r="U273" i="8"/>
  <c r="U274" i="8"/>
  <c r="U275" i="8"/>
  <c r="U276" i="8"/>
  <c r="U277" i="8"/>
  <c r="U278" i="8"/>
  <c r="U279" i="8"/>
  <c r="U280" i="8"/>
  <c r="U281" i="8"/>
  <c r="U282" i="8"/>
  <c r="U283" i="8"/>
  <c r="U284" i="8"/>
  <c r="T266" i="8"/>
  <c r="T267" i="8"/>
  <c r="T268" i="8"/>
  <c r="T269" i="8"/>
  <c r="T270" i="8"/>
  <c r="T271" i="8"/>
  <c r="T272" i="8"/>
  <c r="T273" i="8"/>
  <c r="T274" i="8"/>
  <c r="T275" i="8"/>
  <c r="T276" i="8"/>
  <c r="T277" i="8"/>
  <c r="T278" i="8"/>
  <c r="T279" i="8"/>
  <c r="T280" i="8"/>
  <c r="T281" i="8"/>
  <c r="T282" i="8"/>
  <c r="T283" i="8"/>
  <c r="T284" i="8"/>
  <c r="S266" i="8"/>
  <c r="S267" i="8"/>
  <c r="S268" i="8"/>
  <c r="S269" i="8"/>
  <c r="S270" i="8"/>
  <c r="S271" i="8"/>
  <c r="S272" i="8"/>
  <c r="S273" i="8"/>
  <c r="S274" i="8"/>
  <c r="S275" i="8"/>
  <c r="S276" i="8"/>
  <c r="S277" i="8"/>
  <c r="S278" i="8"/>
  <c r="S279" i="8"/>
  <c r="S280" i="8"/>
  <c r="S281" i="8"/>
  <c r="S282" i="8"/>
  <c r="S283" i="8"/>
  <c r="S284" i="8"/>
  <c r="R266" i="8"/>
  <c r="R267" i="8"/>
  <c r="R268" i="8"/>
  <c r="R269" i="8"/>
  <c r="R270" i="8"/>
  <c r="R271" i="8"/>
  <c r="R272" i="8"/>
  <c r="R273" i="8"/>
  <c r="R274" i="8"/>
  <c r="R275" i="8"/>
  <c r="R276" i="8"/>
  <c r="R277" i="8"/>
  <c r="R278" i="8"/>
  <c r="R279" i="8"/>
  <c r="R280" i="8"/>
  <c r="R281" i="8"/>
  <c r="R282" i="8"/>
  <c r="R283" i="8"/>
  <c r="R284" i="8"/>
  <c r="Q266" i="8"/>
  <c r="Q267" i="8"/>
  <c r="Q268" i="8"/>
  <c r="Q269" i="8"/>
  <c r="Q270" i="8"/>
  <c r="Q271" i="8"/>
  <c r="Q272" i="8"/>
  <c r="Q273" i="8"/>
  <c r="Q274" i="8"/>
  <c r="Q275" i="8"/>
  <c r="Q276" i="8"/>
  <c r="Q277" i="8"/>
  <c r="Q278" i="8"/>
  <c r="Q279" i="8"/>
  <c r="Q280" i="8"/>
  <c r="Q281" i="8"/>
  <c r="Q282" i="8"/>
  <c r="Q283" i="8"/>
  <c r="Q284" i="8"/>
  <c r="P266" i="8"/>
  <c r="P267" i="8"/>
  <c r="P268" i="8"/>
  <c r="P269" i="8"/>
  <c r="P270" i="8"/>
  <c r="P271" i="8"/>
  <c r="P272" i="8"/>
  <c r="P273" i="8"/>
  <c r="P274" i="8"/>
  <c r="P275" i="8"/>
  <c r="P276" i="8"/>
  <c r="P277" i="8"/>
  <c r="P278" i="8"/>
  <c r="P279" i="8"/>
  <c r="P280" i="8"/>
  <c r="P281" i="8"/>
  <c r="P282" i="8"/>
  <c r="P283" i="8"/>
  <c r="P284" i="8"/>
  <c r="O266" i="8"/>
  <c r="O267" i="8"/>
  <c r="O268" i="8"/>
  <c r="O269" i="8"/>
  <c r="O270" i="8"/>
  <c r="O271" i="8"/>
  <c r="O272" i="8"/>
  <c r="O273" i="8"/>
  <c r="O274" i="8"/>
  <c r="O275" i="8"/>
  <c r="O276" i="8"/>
  <c r="O277" i="8"/>
  <c r="O278" i="8"/>
  <c r="O279" i="8"/>
  <c r="O280" i="8"/>
  <c r="O281" i="8"/>
  <c r="O282" i="8"/>
  <c r="O283" i="8"/>
  <c r="O284" i="8"/>
  <c r="N266" i="8"/>
  <c r="N267" i="8"/>
  <c r="N268" i="8"/>
  <c r="N269" i="8"/>
  <c r="N270" i="8"/>
  <c r="N271" i="8"/>
  <c r="N272" i="8"/>
  <c r="N273" i="8"/>
  <c r="N274" i="8"/>
  <c r="N275" i="8"/>
  <c r="N276" i="8"/>
  <c r="N277" i="8"/>
  <c r="N278" i="8"/>
  <c r="N279" i="8"/>
  <c r="N280" i="8"/>
  <c r="N281" i="8"/>
  <c r="N282" i="8"/>
  <c r="N283" i="8"/>
  <c r="N284" i="8"/>
  <c r="M266" i="8"/>
  <c r="M267" i="8"/>
  <c r="M268" i="8"/>
  <c r="M269" i="8"/>
  <c r="M270" i="8"/>
  <c r="M271" i="8"/>
  <c r="M272" i="8"/>
  <c r="M273" i="8"/>
  <c r="M274" i="8"/>
  <c r="M275" i="8"/>
  <c r="M276" i="8"/>
  <c r="M277" i="8"/>
  <c r="M278" i="8"/>
  <c r="M279" i="8"/>
  <c r="M280" i="8"/>
  <c r="M281" i="8"/>
  <c r="M282" i="8"/>
  <c r="M283" i="8"/>
  <c r="M284" i="8"/>
  <c r="L266" i="8"/>
  <c r="L267" i="8"/>
  <c r="L268" i="8"/>
  <c r="L269" i="8"/>
  <c r="L270" i="8"/>
  <c r="L271" i="8"/>
  <c r="L272" i="8"/>
  <c r="L273" i="8"/>
  <c r="L274" i="8"/>
  <c r="L275" i="8"/>
  <c r="L276" i="8"/>
  <c r="L277" i="8"/>
  <c r="L278" i="8"/>
  <c r="L279" i="8"/>
  <c r="L280" i="8"/>
  <c r="L281" i="8"/>
  <c r="L282" i="8"/>
  <c r="L283" i="8"/>
  <c r="L284" i="8"/>
  <c r="K266" i="8"/>
  <c r="K267" i="8"/>
  <c r="K268" i="8"/>
  <c r="K269" i="8"/>
  <c r="K270" i="8"/>
  <c r="K271" i="8"/>
  <c r="K272" i="8"/>
  <c r="K273" i="8"/>
  <c r="K274" i="8"/>
  <c r="K275" i="8"/>
  <c r="K276" i="8"/>
  <c r="K277" i="8"/>
  <c r="K278" i="8"/>
  <c r="K279" i="8"/>
  <c r="K280" i="8"/>
  <c r="K281" i="8"/>
  <c r="K282" i="8"/>
  <c r="K283" i="8"/>
  <c r="K284" i="8"/>
  <c r="J266" i="8"/>
  <c r="J267" i="8"/>
  <c r="J268" i="8"/>
  <c r="J269" i="8"/>
  <c r="J270" i="8"/>
  <c r="J271" i="8"/>
  <c r="J272" i="8"/>
  <c r="J273" i="8"/>
  <c r="J274" i="8"/>
  <c r="J275" i="8"/>
  <c r="J276" i="8"/>
  <c r="J277" i="8"/>
  <c r="J278" i="8"/>
  <c r="J279" i="8"/>
  <c r="J280" i="8"/>
  <c r="J281" i="8"/>
  <c r="J282" i="8"/>
  <c r="J283" i="8"/>
  <c r="J284" i="8"/>
  <c r="I266" i="8"/>
  <c r="I267" i="8"/>
  <c r="I268" i="8"/>
  <c r="I269" i="8"/>
  <c r="I270" i="8"/>
  <c r="I271" i="8"/>
  <c r="I272" i="8"/>
  <c r="I273" i="8"/>
  <c r="I274" i="8"/>
  <c r="I275" i="8"/>
  <c r="I276" i="8"/>
  <c r="I277" i="8"/>
  <c r="I278" i="8"/>
  <c r="I279" i="8"/>
  <c r="I280" i="8"/>
  <c r="I281" i="8"/>
  <c r="I282" i="8"/>
  <c r="I283" i="8"/>
  <c r="I284" i="8"/>
  <c r="H266" i="8"/>
  <c r="H267" i="8"/>
  <c r="H268" i="8"/>
  <c r="H269" i="8"/>
  <c r="H270" i="8"/>
  <c r="H271" i="8"/>
  <c r="H272" i="8"/>
  <c r="H273" i="8"/>
  <c r="H274" i="8"/>
  <c r="H275" i="8"/>
  <c r="H276" i="8"/>
  <c r="H277" i="8"/>
  <c r="H278" i="8"/>
  <c r="H279" i="8"/>
  <c r="H280" i="8"/>
  <c r="H281" i="8"/>
  <c r="H282" i="8"/>
  <c r="H283" i="8"/>
  <c r="H284" i="8"/>
  <c r="U265" i="8"/>
  <c r="T265" i="8"/>
  <c r="S265" i="8"/>
  <c r="R265" i="8"/>
  <c r="Q265" i="8"/>
  <c r="P265" i="8"/>
  <c r="O265" i="8"/>
  <c r="N265" i="8"/>
  <c r="M265" i="8"/>
  <c r="L265" i="8"/>
  <c r="K265" i="8"/>
  <c r="J265" i="8"/>
  <c r="I265" i="8"/>
  <c r="H265" i="8"/>
  <c r="G266" i="8"/>
  <c r="G267" i="8"/>
  <c r="G268" i="8"/>
  <c r="G269" i="8"/>
  <c r="G270" i="8"/>
  <c r="G271" i="8"/>
  <c r="G272" i="8"/>
  <c r="G273" i="8"/>
  <c r="G274" i="8"/>
  <c r="G275" i="8"/>
  <c r="G276" i="8"/>
  <c r="G277" i="8"/>
  <c r="G278" i="8"/>
  <c r="G279" i="8"/>
  <c r="G280" i="8"/>
  <c r="G281" i="8"/>
  <c r="G282" i="8"/>
  <c r="G283" i="8"/>
  <c r="G284" i="8"/>
  <c r="G265" i="8"/>
  <c r="F265" i="8"/>
  <c r="E265" i="8"/>
  <c r="D265" i="8"/>
  <c r="F266" i="8"/>
  <c r="F267" i="8"/>
  <c r="F268" i="8"/>
  <c r="F269" i="8"/>
  <c r="F270" i="8"/>
  <c r="F271" i="8"/>
  <c r="F272" i="8"/>
  <c r="F273" i="8"/>
  <c r="F274" i="8"/>
  <c r="F275" i="8"/>
  <c r="F276" i="8"/>
  <c r="F277" i="8"/>
  <c r="F278" i="8"/>
  <c r="F279" i="8"/>
  <c r="F280" i="8"/>
  <c r="F281" i="8"/>
  <c r="F282" i="8"/>
  <c r="F283" i="8"/>
  <c r="F284" i="8"/>
  <c r="E266" i="8"/>
  <c r="E267" i="8"/>
  <c r="E268" i="8"/>
  <c r="E269" i="8"/>
  <c r="E270" i="8"/>
  <c r="E271" i="8"/>
  <c r="E272" i="8"/>
  <c r="E273" i="8"/>
  <c r="E274" i="8"/>
  <c r="E275" i="8"/>
  <c r="E276" i="8"/>
  <c r="E277" i="8"/>
  <c r="E278" i="8"/>
  <c r="E279" i="8"/>
  <c r="E280" i="8"/>
  <c r="E281" i="8"/>
  <c r="E282" i="8"/>
  <c r="E283" i="8"/>
  <c r="E284" i="8"/>
  <c r="D266" i="8"/>
  <c r="D267" i="8"/>
  <c r="D268" i="8"/>
  <c r="D269" i="8"/>
  <c r="D270" i="8"/>
  <c r="D271" i="8"/>
  <c r="D272" i="8"/>
  <c r="D273" i="8"/>
  <c r="D274" i="8"/>
  <c r="D275" i="8"/>
  <c r="D276" i="8"/>
  <c r="D277" i="8"/>
  <c r="D278" i="8"/>
  <c r="D279" i="8"/>
  <c r="D280" i="8"/>
  <c r="D281" i="8"/>
  <c r="D282" i="8"/>
  <c r="D283" i="8"/>
  <c r="D284" i="8"/>
  <c r="C265" i="8"/>
  <c r="B267" i="8"/>
  <c r="C266" i="8"/>
  <c r="C267" i="8"/>
  <c r="C268" i="8"/>
  <c r="C269" i="8"/>
  <c r="C270" i="8"/>
  <c r="C271" i="8"/>
  <c r="C272" i="8"/>
  <c r="C273" i="8"/>
  <c r="C274" i="8"/>
  <c r="C275" i="8"/>
  <c r="C276" i="8"/>
  <c r="C277" i="8"/>
  <c r="C278" i="8"/>
  <c r="C279" i="8"/>
  <c r="C280" i="8"/>
  <c r="C281" i="8"/>
  <c r="C282" i="8"/>
  <c r="C283" i="8"/>
  <c r="C284" i="8"/>
  <c r="B266" i="8"/>
  <c r="B271" i="8"/>
  <c r="B268" i="8"/>
  <c r="B269" i="8"/>
  <c r="B270" i="8"/>
  <c r="B272" i="8"/>
  <c r="B273" i="8"/>
  <c r="B274" i="8"/>
  <c r="B275" i="8"/>
  <c r="B276" i="8"/>
  <c r="B277" i="8"/>
  <c r="B278" i="8"/>
  <c r="B279" i="8"/>
  <c r="B280" i="8"/>
  <c r="B281" i="8"/>
  <c r="B282" i="8"/>
  <c r="B283" i="8"/>
  <c r="B284" i="8"/>
  <c r="C261" i="8"/>
  <c r="D261" i="8"/>
  <c r="E261" i="8"/>
  <c r="F261" i="8"/>
  <c r="G261" i="8"/>
  <c r="H261" i="8"/>
  <c r="H212" i="8"/>
  <c r="H234" i="8" s="1"/>
  <c r="H196" i="8"/>
  <c r="H218" i="8" s="1"/>
  <c r="H197" i="8"/>
  <c r="H219" i="8" s="1"/>
  <c r="H198" i="8"/>
  <c r="H220" i="8" s="1"/>
  <c r="H199" i="8"/>
  <c r="H200" i="8"/>
  <c r="H201" i="8"/>
  <c r="H223" i="8" s="1"/>
  <c r="H202" i="8"/>
  <c r="H224" i="8" s="1"/>
  <c r="H203" i="8"/>
  <c r="H204" i="8"/>
  <c r="H226" i="8" s="1"/>
  <c r="H205" i="8"/>
  <c r="H227" i="8" s="1"/>
  <c r="H206" i="8"/>
  <c r="H228" i="8" s="1"/>
  <c r="H207" i="8"/>
  <c r="H208" i="8"/>
  <c r="H209" i="8"/>
  <c r="H231" i="8" s="1"/>
  <c r="H210" i="8"/>
  <c r="H232" i="8" s="1"/>
  <c r="H211" i="8"/>
  <c r="H213" i="8"/>
  <c r="H235" i="8" s="1"/>
  <c r="H214" i="8"/>
  <c r="G196" i="8"/>
  <c r="G218" i="8" s="1"/>
  <c r="G197" i="8"/>
  <c r="G219" i="8" s="1"/>
  <c r="G198" i="8"/>
  <c r="G220" i="8" s="1"/>
  <c r="G199" i="8"/>
  <c r="G221" i="8" s="1"/>
  <c r="G200" i="8"/>
  <c r="G222" i="8" s="1"/>
  <c r="G201" i="8"/>
  <c r="G202" i="8"/>
  <c r="G224" i="8" s="1"/>
  <c r="G203" i="8"/>
  <c r="G204" i="8"/>
  <c r="G226" i="8" s="1"/>
  <c r="G205" i="8"/>
  <c r="G206" i="8"/>
  <c r="G228" i="8" s="1"/>
  <c r="G207" i="8"/>
  <c r="G229" i="8" s="1"/>
  <c r="G208" i="8"/>
  <c r="G230" i="8" s="1"/>
  <c r="G209" i="8"/>
  <c r="G210" i="8"/>
  <c r="G232" i="8" s="1"/>
  <c r="G211" i="8"/>
  <c r="G212" i="8"/>
  <c r="G234" i="8" s="1"/>
  <c r="G213" i="8"/>
  <c r="G235" i="8" s="1"/>
  <c r="G214" i="8"/>
  <c r="F196" i="8"/>
  <c r="F218" i="8" s="1"/>
  <c r="F197" i="8"/>
  <c r="F198" i="8"/>
  <c r="F199" i="8"/>
  <c r="F221" i="8" s="1"/>
  <c r="F200" i="8"/>
  <c r="F222" i="8" s="1"/>
  <c r="F201" i="8"/>
  <c r="F223" i="8" s="1"/>
  <c r="F202" i="8"/>
  <c r="F203" i="8"/>
  <c r="F204" i="8"/>
  <c r="F226" i="8" s="1"/>
  <c r="F205" i="8"/>
  <c r="F206" i="8"/>
  <c r="F228" i="8" s="1"/>
  <c r="F207" i="8"/>
  <c r="F229" i="8" s="1"/>
  <c r="F208" i="8"/>
  <c r="F230" i="8" s="1"/>
  <c r="F209" i="8"/>
  <c r="F231" i="8" s="1"/>
  <c r="F210" i="8"/>
  <c r="F211" i="8"/>
  <c r="F212" i="8"/>
  <c r="F234" i="8" s="1"/>
  <c r="F213" i="8"/>
  <c r="F235" i="8" s="1"/>
  <c r="F214" i="8"/>
  <c r="E196" i="8"/>
  <c r="E218" i="8" s="1"/>
  <c r="E197" i="8"/>
  <c r="E219" i="8" s="1"/>
  <c r="E198" i="8"/>
  <c r="E220" i="8" s="1"/>
  <c r="E199" i="8"/>
  <c r="E200" i="8"/>
  <c r="E222" i="8" s="1"/>
  <c r="E201" i="8"/>
  <c r="E223" i="8" s="1"/>
  <c r="E202" i="8"/>
  <c r="E224" i="8" s="1"/>
  <c r="E203" i="8"/>
  <c r="E204" i="8"/>
  <c r="E226" i="8" s="1"/>
  <c r="E205" i="8"/>
  <c r="E227" i="8" s="1"/>
  <c r="E206" i="8"/>
  <c r="E228" i="8" s="1"/>
  <c r="E207" i="8"/>
  <c r="E208" i="8"/>
  <c r="E209" i="8"/>
  <c r="E231" i="8" s="1"/>
  <c r="E210" i="8"/>
  <c r="E232" i="8" s="1"/>
  <c r="E211" i="8"/>
  <c r="E212" i="8"/>
  <c r="E234" i="8" s="1"/>
  <c r="E213" i="8"/>
  <c r="E214" i="8"/>
  <c r="E236" i="8" s="1"/>
  <c r="D196" i="8"/>
  <c r="D197" i="8"/>
  <c r="D198" i="8"/>
  <c r="D199" i="8"/>
  <c r="D221" i="8" s="1"/>
  <c r="D200" i="8"/>
  <c r="D201" i="8"/>
  <c r="D223" i="8" s="1"/>
  <c r="D202" i="8"/>
  <c r="D203" i="8"/>
  <c r="D225" i="8" s="1"/>
  <c r="D204" i="8"/>
  <c r="D205" i="8"/>
  <c r="D227" i="8" s="1"/>
  <c r="D206" i="8"/>
  <c r="D207" i="8"/>
  <c r="D229" i="8" s="1"/>
  <c r="D208" i="8"/>
  <c r="D209" i="8"/>
  <c r="D231" i="8" s="1"/>
  <c r="D210" i="8"/>
  <c r="D211" i="8"/>
  <c r="D233" i="8" s="1"/>
  <c r="D212" i="8"/>
  <c r="D213" i="8"/>
  <c r="D214" i="8"/>
  <c r="D236" i="8" s="1"/>
  <c r="C196" i="8"/>
  <c r="C197" i="8"/>
  <c r="C219" i="8" s="1"/>
  <c r="C198" i="8"/>
  <c r="C220" i="8" s="1"/>
  <c r="C200" i="8"/>
  <c r="C222" i="8" s="1"/>
  <c r="C201" i="8"/>
  <c r="C202" i="8"/>
  <c r="C224" i="8" s="1"/>
  <c r="C203" i="8"/>
  <c r="C204" i="8"/>
  <c r="C226" i="8" s="1"/>
  <c r="C205" i="8"/>
  <c r="C206" i="8"/>
  <c r="C228" i="8" s="1"/>
  <c r="C207" i="8"/>
  <c r="C208" i="8"/>
  <c r="C230" i="8" s="1"/>
  <c r="C209" i="8"/>
  <c r="C210" i="8"/>
  <c r="C211" i="8"/>
  <c r="C212" i="8"/>
  <c r="C234" i="8" s="1"/>
  <c r="C213" i="8"/>
  <c r="C214" i="8"/>
  <c r="C236" i="8" s="1"/>
  <c r="C195" i="8"/>
  <c r="D195" i="8"/>
  <c r="D217" i="8" s="1"/>
  <c r="E195" i="8"/>
  <c r="F195" i="8"/>
  <c r="G195" i="8"/>
  <c r="G217" i="8" s="1"/>
  <c r="H195" i="8"/>
  <c r="B214" i="8"/>
  <c r="B196" i="8"/>
  <c r="B197" i="8"/>
  <c r="B219" i="8" s="1"/>
  <c r="B198" i="8"/>
  <c r="B220" i="8" s="1"/>
  <c r="B199" i="8"/>
  <c r="B200" i="8"/>
  <c r="B201" i="8"/>
  <c r="B223" i="8" s="1"/>
  <c r="B202" i="8"/>
  <c r="B203" i="8"/>
  <c r="B204" i="8"/>
  <c r="B205" i="8"/>
  <c r="B227" i="8" s="1"/>
  <c r="B206" i="8"/>
  <c r="B228" i="8" s="1"/>
  <c r="B207" i="8"/>
  <c r="B229" i="8" s="1"/>
  <c r="B208" i="8"/>
  <c r="B230" i="8" s="1"/>
  <c r="B209" i="8"/>
  <c r="B231" i="8" s="1"/>
  <c r="B210" i="8"/>
  <c r="B211" i="8"/>
  <c r="B233" i="8" s="1"/>
  <c r="B212" i="8"/>
  <c r="B234" i="8" s="1"/>
  <c r="B213" i="8"/>
  <c r="B195" i="8"/>
  <c r="B217" i="8" s="1"/>
  <c r="E125" i="8"/>
  <c r="C95" i="8"/>
  <c r="D95" i="8"/>
  <c r="E95" i="8"/>
  <c r="F95" i="8"/>
  <c r="G95" i="8"/>
  <c r="H95" i="8"/>
  <c r="B95" i="8"/>
  <c r="C94" i="8"/>
  <c r="D94" i="8"/>
  <c r="E94" i="8"/>
  <c r="F94" i="8"/>
  <c r="G94" i="8"/>
  <c r="H94" i="8"/>
  <c r="B94" i="8"/>
  <c r="E132" i="8"/>
  <c r="G129" i="8"/>
  <c r="D93" i="8"/>
  <c r="C93" i="8"/>
  <c r="B93" i="8"/>
  <c r="B149" i="8" s="1"/>
  <c r="E93" i="8"/>
  <c r="F93" i="8"/>
  <c r="G93" i="8"/>
  <c r="H93" i="8"/>
  <c r="H152" i="8" s="1"/>
  <c r="C104" i="8"/>
  <c r="G113" i="8"/>
  <c r="E126" i="8"/>
  <c r="F127" i="8"/>
  <c r="H128" i="8"/>
  <c r="G131" i="8"/>
  <c r="B132" i="8"/>
  <c r="F132" i="8"/>
  <c r="G133" i="8"/>
  <c r="H133" i="8"/>
  <c r="B134" i="8"/>
  <c r="H134" i="8"/>
  <c r="H135" i="8"/>
  <c r="B136" i="8"/>
  <c r="E141" i="8"/>
  <c r="E142" i="8"/>
  <c r="B143" i="8"/>
  <c r="H143" i="8"/>
  <c r="B144" i="8"/>
  <c r="G144" i="8"/>
  <c r="H144" i="8"/>
  <c r="H126" i="8"/>
  <c r="H127" i="8"/>
  <c r="H136" i="8"/>
  <c r="H141" i="8"/>
  <c r="H142" i="8"/>
  <c r="F129" i="8"/>
  <c r="F136" i="8"/>
  <c r="F137" i="8"/>
  <c r="F138" i="8"/>
  <c r="G128" i="8"/>
  <c r="G132" i="8"/>
  <c r="G135" i="8"/>
  <c r="G139" i="8"/>
  <c r="G140" i="8"/>
  <c r="G141" i="8"/>
  <c r="E127" i="8"/>
  <c r="E128" i="8"/>
  <c r="E133" i="8"/>
  <c r="E134" i="8"/>
  <c r="E135" i="8"/>
  <c r="E136" i="8"/>
  <c r="E143" i="8"/>
  <c r="E144" i="8"/>
  <c r="B126" i="8"/>
  <c r="B127" i="8"/>
  <c r="B128" i="8"/>
  <c r="B131" i="8"/>
  <c r="B135" i="8"/>
  <c r="B137" i="8"/>
  <c r="B138" i="8"/>
  <c r="B139" i="8"/>
  <c r="B142" i="8"/>
  <c r="D37" i="8"/>
  <c r="D38" i="8"/>
  <c r="D39" i="8"/>
  <c r="D40" i="8"/>
  <c r="D41" i="8"/>
  <c r="D42" i="8"/>
  <c r="D43" i="8"/>
  <c r="D44" i="8"/>
  <c r="D45" i="8"/>
  <c r="D46" i="8"/>
  <c r="D47" i="8"/>
  <c r="D48" i="8"/>
  <c r="D49" i="8"/>
  <c r="D50" i="8"/>
  <c r="D51" i="8"/>
  <c r="D52" i="8"/>
  <c r="D53" i="8"/>
  <c r="D54" i="8"/>
  <c r="D55" i="8"/>
  <c r="D36" i="8"/>
  <c r="C37" i="8"/>
  <c r="C38" i="8"/>
  <c r="C39" i="8"/>
  <c r="C40" i="8"/>
  <c r="C41" i="8"/>
  <c r="C42" i="8"/>
  <c r="C43" i="8"/>
  <c r="C44" i="8"/>
  <c r="C45" i="8"/>
  <c r="C46" i="8"/>
  <c r="C47" i="8"/>
  <c r="C48" i="8"/>
  <c r="C49" i="8"/>
  <c r="C50" i="8"/>
  <c r="C51" i="8"/>
  <c r="C52" i="8"/>
  <c r="C53" i="8"/>
  <c r="C54" i="8"/>
  <c r="C55" i="8"/>
  <c r="C36" i="8"/>
  <c r="H18" i="13" l="1"/>
  <c r="U6" i="13"/>
  <c r="H21" i="13"/>
  <c r="B21" i="13"/>
  <c r="U4" i="13" s="1"/>
  <c r="C21" i="13"/>
  <c r="E17" i="13"/>
  <c r="F18" i="13"/>
  <c r="G19" i="13"/>
  <c r="E16" i="13"/>
  <c r="U8" i="13"/>
  <c r="G17" i="13"/>
  <c r="F17" i="13"/>
  <c r="C335" i="8"/>
  <c r="D336" i="8"/>
  <c r="V265" i="8" a="1"/>
  <c r="V265" i="8" s="1"/>
  <c r="I249" i="8"/>
  <c r="J318" i="8"/>
  <c r="P312" i="8"/>
  <c r="M326" i="8"/>
  <c r="M318" i="8"/>
  <c r="O324" i="8"/>
  <c r="O316" i="8"/>
  <c r="P327" i="8"/>
  <c r="P319" i="8"/>
  <c r="M312" i="8"/>
  <c r="G337" i="8" s="1"/>
  <c r="O328" i="8"/>
  <c r="O320" i="8"/>
  <c r="J328" i="8"/>
  <c r="J320" i="8"/>
  <c r="O327" i="8"/>
  <c r="O319" i="8"/>
  <c r="I42" i="11"/>
  <c r="I43" i="11"/>
  <c r="I34" i="11"/>
  <c r="I31" i="11"/>
  <c r="I32" i="11"/>
  <c r="I39" i="11"/>
  <c r="I38" i="11"/>
  <c r="I37" i="11"/>
  <c r="I29" i="11"/>
  <c r="I45" i="11"/>
  <c r="I36" i="11"/>
  <c r="I41" i="11"/>
  <c r="I33" i="11"/>
  <c r="I44" i="11"/>
  <c r="I35" i="11"/>
  <c r="I40" i="11"/>
  <c r="E96" i="8"/>
  <c r="E176" i="8" s="1"/>
  <c r="V280" i="8" a="1"/>
  <c r="V280" i="8" s="1"/>
  <c r="V270" i="8" a="1"/>
  <c r="V270" i="8" s="1"/>
  <c r="E336" i="8"/>
  <c r="F336" i="8"/>
  <c r="I244" i="8"/>
  <c r="V277" i="8" a="1"/>
  <c r="V277" i="8" s="1"/>
  <c r="V268" i="8" a="1"/>
  <c r="V268" i="8" s="1"/>
  <c r="D335" i="8"/>
  <c r="E337" i="8"/>
  <c r="E335" i="8"/>
  <c r="F337" i="8"/>
  <c r="F335" i="8"/>
  <c r="V283" i="8" a="1"/>
  <c r="V283" i="8" s="1"/>
  <c r="G335" i="8"/>
  <c r="V275" i="8" a="1"/>
  <c r="V275" i="8" s="1"/>
  <c r="C96" i="8"/>
  <c r="C176" i="8" s="1"/>
  <c r="V281" i="8" a="1"/>
  <c r="V281" i="8" s="1"/>
  <c r="F338" i="8"/>
  <c r="I241" i="8"/>
  <c r="V279" i="8" a="1"/>
  <c r="V279" i="8" s="1"/>
  <c r="I245" i="8"/>
  <c r="I253" i="8"/>
  <c r="V278" i="8" a="1"/>
  <c r="V278" i="8" s="1"/>
  <c r="V269" i="8" a="1"/>
  <c r="V269" i="8" s="1"/>
  <c r="V284" i="8" a="1"/>
  <c r="V284" i="8" s="1"/>
  <c r="V276" i="8" a="1"/>
  <c r="V276" i="8" s="1"/>
  <c r="V271" i="8" a="1"/>
  <c r="V271" i="8" s="1"/>
  <c r="V266" i="8" a="1"/>
  <c r="V266" i="8" s="1"/>
  <c r="I247" i="8"/>
  <c r="V282" i="8" a="1"/>
  <c r="V282" i="8" s="1"/>
  <c r="V274" i="8" a="1"/>
  <c r="V274" i="8" s="1"/>
  <c r="I246" i="8"/>
  <c r="V273" i="8" a="1"/>
  <c r="V273" i="8" s="1"/>
  <c r="V272" i="8" a="1"/>
  <c r="V272" i="8" s="1"/>
  <c r="V267" i="8" a="1"/>
  <c r="V267" i="8" s="1"/>
  <c r="I260" i="8"/>
  <c r="I252" i="8"/>
  <c r="I243" i="8"/>
  <c r="I259" i="8"/>
  <c r="I251" i="8"/>
  <c r="I242" i="8"/>
  <c r="I258" i="8"/>
  <c r="I250" i="8"/>
  <c r="I257" i="8"/>
  <c r="I248" i="8"/>
  <c r="I256" i="8"/>
  <c r="I255" i="8"/>
  <c r="I254" i="8"/>
  <c r="F96" i="8"/>
  <c r="F190" i="8" s="1"/>
  <c r="G96" i="8"/>
  <c r="G171" i="8" s="1"/>
  <c r="H96" i="8"/>
  <c r="H177" i="8" s="1"/>
  <c r="H151" i="8"/>
  <c r="B96" i="8"/>
  <c r="B187" i="8" s="1"/>
  <c r="D96" i="8"/>
  <c r="D181" i="8" s="1"/>
  <c r="E172" i="8"/>
  <c r="C233" i="8"/>
  <c r="C225" i="8"/>
  <c r="D228" i="8"/>
  <c r="D220" i="8"/>
  <c r="E233" i="8"/>
  <c r="B224" i="8"/>
  <c r="F233" i="8"/>
  <c r="F225" i="8"/>
  <c r="G236" i="8"/>
  <c r="H230" i="8"/>
  <c r="H222" i="8"/>
  <c r="C232" i="8"/>
  <c r="H233" i="8"/>
  <c r="C235" i="8"/>
  <c r="C231" i="8"/>
  <c r="C223" i="8"/>
  <c r="D234" i="8"/>
  <c r="D226" i="8"/>
  <c r="D218" i="8"/>
  <c r="E229" i="8"/>
  <c r="E221" i="8"/>
  <c r="H229" i="8"/>
  <c r="H221" i="8"/>
  <c r="B236" i="8"/>
  <c r="C218" i="8"/>
  <c r="E230" i="8"/>
  <c r="E217" i="8"/>
  <c r="F224" i="8"/>
  <c r="G231" i="8"/>
  <c r="D222" i="8"/>
  <c r="G223" i="8"/>
  <c r="H225" i="8"/>
  <c r="D230" i="8"/>
  <c r="B232" i="8"/>
  <c r="B225" i="8"/>
  <c r="H217" i="8"/>
  <c r="D235" i="8"/>
  <c r="F236" i="8"/>
  <c r="B235" i="8"/>
  <c r="C217" i="8"/>
  <c r="C229" i="8"/>
  <c r="C221" i="8"/>
  <c r="D232" i="8"/>
  <c r="D224" i="8"/>
  <c r="E235" i="8"/>
  <c r="G233" i="8"/>
  <c r="G225" i="8"/>
  <c r="H236" i="8"/>
  <c r="B222" i="8"/>
  <c r="F217" i="8"/>
  <c r="C227" i="8"/>
  <c r="G227" i="8"/>
  <c r="B221" i="8"/>
  <c r="D219" i="8"/>
  <c r="E225" i="8"/>
  <c r="F232" i="8"/>
  <c r="F220" i="8"/>
  <c r="B226" i="8"/>
  <c r="B218" i="8"/>
  <c r="F227" i="8"/>
  <c r="F219" i="8"/>
  <c r="C102" i="8"/>
  <c r="C131" i="8"/>
  <c r="E140" i="8"/>
  <c r="F140" i="8"/>
  <c r="G137" i="8"/>
  <c r="C139" i="8"/>
  <c r="G136" i="8"/>
  <c r="C134" i="8"/>
  <c r="D133" i="8"/>
  <c r="B107" i="8"/>
  <c r="E116" i="8"/>
  <c r="G119" i="8"/>
  <c r="G111" i="8"/>
  <c r="G103" i="8"/>
  <c r="C135" i="8"/>
  <c r="C142" i="8"/>
  <c r="C126" i="8"/>
  <c r="D141" i="8"/>
  <c r="H162" i="8"/>
  <c r="D125" i="8"/>
  <c r="D140" i="8"/>
  <c r="D132" i="8"/>
  <c r="H117" i="8"/>
  <c r="B106" i="8"/>
  <c r="H108" i="8"/>
  <c r="E102" i="8"/>
  <c r="G120" i="8"/>
  <c r="G112" i="8"/>
  <c r="G104" i="8"/>
  <c r="F107" i="8"/>
  <c r="E108" i="8"/>
  <c r="G116" i="8"/>
  <c r="B111" i="8"/>
  <c r="E115" i="8"/>
  <c r="G108" i="8"/>
  <c r="E114" i="8"/>
  <c r="F120" i="8"/>
  <c r="H103" i="8"/>
  <c r="D138" i="8"/>
  <c r="F119" i="8"/>
  <c r="H114" i="8"/>
  <c r="H106" i="8"/>
  <c r="D129" i="8"/>
  <c r="G115" i="8"/>
  <c r="G107" i="8"/>
  <c r="F118" i="8"/>
  <c r="F110" i="8"/>
  <c r="G127" i="8"/>
  <c r="E107" i="8"/>
  <c r="F105" i="8"/>
  <c r="H115" i="8"/>
  <c r="D130" i="8"/>
  <c r="F111" i="8"/>
  <c r="C137" i="8"/>
  <c r="D144" i="8"/>
  <c r="B118" i="8"/>
  <c r="B110" i="8"/>
  <c r="G102" i="8"/>
  <c r="F117" i="8"/>
  <c r="F109" i="8"/>
  <c r="H109" i="8"/>
  <c r="F121" i="8"/>
  <c r="H116" i="8"/>
  <c r="E106" i="8"/>
  <c r="F112" i="8"/>
  <c r="H107" i="8"/>
  <c r="F103" i="8"/>
  <c r="C144" i="8"/>
  <c r="D135" i="8"/>
  <c r="B117" i="8"/>
  <c r="F165" i="8"/>
  <c r="G121" i="8"/>
  <c r="G105" i="8"/>
  <c r="F116" i="8"/>
  <c r="F108" i="8"/>
  <c r="G143" i="8"/>
  <c r="D142" i="8"/>
  <c r="D139" i="8"/>
  <c r="D131" i="8"/>
  <c r="B112" i="8"/>
  <c r="F113" i="8"/>
  <c r="B114" i="8"/>
  <c r="B105" i="8"/>
  <c r="F102" i="8"/>
  <c r="E121" i="8"/>
  <c r="E113" i="8"/>
  <c r="E105" i="8"/>
  <c r="F115" i="8"/>
  <c r="F106" i="8"/>
  <c r="G118" i="8"/>
  <c r="G110" i="8"/>
  <c r="H121" i="8"/>
  <c r="H113" i="8"/>
  <c r="H105" i="8"/>
  <c r="F144" i="8"/>
  <c r="F128" i="8"/>
  <c r="B103" i="8"/>
  <c r="E119" i="8"/>
  <c r="E103" i="8"/>
  <c r="F104" i="8"/>
  <c r="B121" i="8"/>
  <c r="B113" i="8"/>
  <c r="B104" i="8"/>
  <c r="E120" i="8"/>
  <c r="E112" i="8"/>
  <c r="E104" i="8"/>
  <c r="F114" i="8"/>
  <c r="G117" i="8"/>
  <c r="G109" i="8"/>
  <c r="H120" i="8"/>
  <c r="H112" i="8"/>
  <c r="H104" i="8"/>
  <c r="B140" i="8"/>
  <c r="F143" i="8"/>
  <c r="F135" i="8"/>
  <c r="G138" i="8"/>
  <c r="G130" i="8"/>
  <c r="B161" i="8"/>
  <c r="B133" i="8"/>
  <c r="F125" i="8"/>
  <c r="E139" i="8"/>
  <c r="E131" i="8"/>
  <c r="F142" i="8"/>
  <c r="F134" i="8"/>
  <c r="F126" i="8"/>
  <c r="H140" i="8"/>
  <c r="H132" i="8"/>
  <c r="G160" i="8"/>
  <c r="B119" i="8"/>
  <c r="B109" i="8"/>
  <c r="E118" i="8"/>
  <c r="E110" i="8"/>
  <c r="H118" i="8"/>
  <c r="H110" i="8"/>
  <c r="G125" i="8"/>
  <c r="E138" i="8"/>
  <c r="E130" i="8"/>
  <c r="F141" i="8"/>
  <c r="F133" i="8"/>
  <c r="H139" i="8"/>
  <c r="H131" i="8"/>
  <c r="E153" i="8"/>
  <c r="H119" i="8"/>
  <c r="E117" i="8"/>
  <c r="B120" i="8"/>
  <c r="E111" i="8"/>
  <c r="H111" i="8"/>
  <c r="E109" i="8"/>
  <c r="H125" i="8"/>
  <c r="H130" i="8"/>
  <c r="B108" i="8"/>
  <c r="B141" i="8"/>
  <c r="B130" i="8"/>
  <c r="F139" i="8"/>
  <c r="F131" i="8"/>
  <c r="G142" i="8"/>
  <c r="G134" i="8"/>
  <c r="G126" i="8"/>
  <c r="H137" i="8"/>
  <c r="H129" i="8"/>
  <c r="G106" i="8"/>
  <c r="E137" i="8"/>
  <c r="H138" i="8"/>
  <c r="B116" i="8"/>
  <c r="H102" i="8"/>
  <c r="B129" i="8"/>
  <c r="F130" i="8"/>
  <c r="G114" i="8"/>
  <c r="E129" i="8"/>
  <c r="B115" i="8"/>
  <c r="G21" i="13" l="1"/>
  <c r="F21" i="13"/>
  <c r="E21" i="13"/>
  <c r="E181" i="8"/>
  <c r="E183" i="8"/>
  <c r="E189" i="8"/>
  <c r="E174" i="8"/>
  <c r="G336" i="8"/>
  <c r="E173" i="8"/>
  <c r="E178" i="8"/>
  <c r="E185" i="8"/>
  <c r="E184" i="8"/>
  <c r="E187" i="8"/>
  <c r="E175" i="8"/>
  <c r="G339" i="8"/>
  <c r="G338" i="8"/>
  <c r="E171" i="8"/>
  <c r="L240" i="8"/>
  <c r="L241" i="8"/>
  <c r="E179" i="8"/>
  <c r="E177" i="8"/>
  <c r="E190" i="8"/>
  <c r="I195" i="8"/>
  <c r="E182" i="8"/>
  <c r="C186" i="8"/>
  <c r="C184" i="8"/>
  <c r="E186" i="8"/>
  <c r="C179" i="8"/>
  <c r="C172" i="8"/>
  <c r="C183" i="8"/>
  <c r="C190" i="8"/>
  <c r="C180" i="8"/>
  <c r="C175" i="8"/>
  <c r="E188" i="8"/>
  <c r="C173" i="8"/>
  <c r="E180" i="8"/>
  <c r="C188" i="8"/>
  <c r="C182" i="8"/>
  <c r="F186" i="8"/>
  <c r="C189" i="8"/>
  <c r="C187" i="8"/>
  <c r="C174" i="8"/>
  <c r="C178" i="8"/>
  <c r="G183" i="8"/>
  <c r="C185" i="8"/>
  <c r="C177" i="8"/>
  <c r="C171" i="8"/>
  <c r="C181" i="8"/>
  <c r="F178" i="8"/>
  <c r="F185" i="8"/>
  <c r="F189" i="8"/>
  <c r="F172" i="8"/>
  <c r="F176" i="8"/>
  <c r="D186" i="8"/>
  <c r="F188" i="8"/>
  <c r="D178" i="8"/>
  <c r="D179" i="8"/>
  <c r="D183" i="8"/>
  <c r="F182" i="8"/>
  <c r="F174" i="8"/>
  <c r="D171" i="8"/>
  <c r="D173" i="8"/>
  <c r="F181" i="8"/>
  <c r="F183" i="8"/>
  <c r="F180" i="8"/>
  <c r="F173" i="8"/>
  <c r="B188" i="8"/>
  <c r="H176" i="8"/>
  <c r="G186" i="8"/>
  <c r="F187" i="8"/>
  <c r="F179" i="8"/>
  <c r="G189" i="8"/>
  <c r="D174" i="8"/>
  <c r="G180" i="8"/>
  <c r="G174" i="8"/>
  <c r="G178" i="8"/>
  <c r="G184" i="8"/>
  <c r="G187" i="8"/>
  <c r="G172" i="8"/>
  <c r="D187" i="8"/>
  <c r="G177" i="8"/>
  <c r="G182" i="8"/>
  <c r="B184" i="8"/>
  <c r="G176" i="8"/>
  <c r="G181" i="8"/>
  <c r="F184" i="8"/>
  <c r="H181" i="8"/>
  <c r="D188" i="8"/>
  <c r="H173" i="8"/>
  <c r="F171" i="8"/>
  <c r="G175" i="8"/>
  <c r="G185" i="8"/>
  <c r="G173" i="8"/>
  <c r="F175" i="8"/>
  <c r="D180" i="8"/>
  <c r="F177" i="8"/>
  <c r="B171" i="8"/>
  <c r="G179" i="8"/>
  <c r="G190" i="8"/>
  <c r="H180" i="8"/>
  <c r="D182" i="8"/>
  <c r="H174" i="8"/>
  <c r="D175" i="8"/>
  <c r="H190" i="8"/>
  <c r="H185" i="8"/>
  <c r="D185" i="8"/>
  <c r="H184" i="8"/>
  <c r="H175" i="8"/>
  <c r="H172" i="8"/>
  <c r="H187" i="8"/>
  <c r="H171" i="8"/>
  <c r="H183" i="8"/>
  <c r="D189" i="8"/>
  <c r="D172" i="8"/>
  <c r="H182" i="8"/>
  <c r="H186" i="8"/>
  <c r="D190" i="8"/>
  <c r="D184" i="8"/>
  <c r="D176" i="8"/>
  <c r="G188" i="8"/>
  <c r="H189" i="8"/>
  <c r="H178" i="8"/>
  <c r="E237" i="8" a="1"/>
  <c r="E237" i="8" s="1"/>
  <c r="L195" i="8" s="1"/>
  <c r="D237" i="8" a="1"/>
  <c r="D237" i="8" s="1"/>
  <c r="K207" i="8" s="1"/>
  <c r="H188" i="8"/>
  <c r="H179" i="8"/>
  <c r="B174" i="8"/>
  <c r="B186" i="8"/>
  <c r="B176" i="8"/>
  <c r="B179" i="8"/>
  <c r="B178" i="8"/>
  <c r="B177" i="8"/>
  <c r="B182" i="8"/>
  <c r="B173" i="8"/>
  <c r="B185" i="8"/>
  <c r="H237" i="8" a="1"/>
  <c r="H237" i="8" s="1"/>
  <c r="O196" i="8" s="1"/>
  <c r="B190" i="8"/>
  <c r="B183" i="8"/>
  <c r="G237" i="8" a="1"/>
  <c r="G237" i="8" s="1"/>
  <c r="N213" i="8" s="1"/>
  <c r="B189" i="8"/>
  <c r="B175" i="8"/>
  <c r="B172" i="8"/>
  <c r="B180" i="8"/>
  <c r="B181" i="8"/>
  <c r="D177" i="8"/>
  <c r="F237" i="8" a="1"/>
  <c r="F237" i="8" s="1"/>
  <c r="C237" i="8" a="1"/>
  <c r="C237" i="8" s="1"/>
  <c r="D110" i="8"/>
  <c r="F150" i="8"/>
  <c r="C129" i="8"/>
  <c r="I129" i="8" s="1"/>
  <c r="B165" i="8"/>
  <c r="H156" i="8"/>
  <c r="E149" i="8"/>
  <c r="H163" i="8"/>
  <c r="G148" i="8"/>
  <c r="F149" i="8"/>
  <c r="F158" i="8"/>
  <c r="G152" i="8"/>
  <c r="H164" i="8"/>
  <c r="E157" i="8"/>
  <c r="E154" i="8"/>
  <c r="B164" i="8"/>
  <c r="B153" i="8"/>
  <c r="H148" i="8"/>
  <c r="C130" i="8"/>
  <c r="I130" i="8" s="1"/>
  <c r="B154" i="8"/>
  <c r="H149" i="8"/>
  <c r="E165" i="8"/>
  <c r="E162" i="8"/>
  <c r="H154" i="8"/>
  <c r="F151" i="8"/>
  <c r="G151" i="8"/>
  <c r="B155" i="8"/>
  <c r="H150" i="8"/>
  <c r="F148" i="8"/>
  <c r="F154" i="8"/>
  <c r="F167" i="8"/>
  <c r="B157" i="8"/>
  <c r="B163" i="8"/>
  <c r="F162" i="8"/>
  <c r="B156" i="8"/>
  <c r="F157" i="8"/>
  <c r="E150" i="8"/>
  <c r="E166" i="8"/>
  <c r="E167" i="8"/>
  <c r="E160" i="8"/>
  <c r="E148" i="8"/>
  <c r="E159" i="8"/>
  <c r="E158" i="8"/>
  <c r="E151" i="8"/>
  <c r="E152" i="8"/>
  <c r="C133" i="8"/>
  <c r="I133" i="8" s="1"/>
  <c r="C127" i="8"/>
  <c r="G167" i="8"/>
  <c r="C125" i="8"/>
  <c r="I125" i="8" s="1"/>
  <c r="C143" i="8"/>
  <c r="D143" i="8"/>
  <c r="H157" i="8"/>
  <c r="H165" i="8"/>
  <c r="H166" i="8"/>
  <c r="F161" i="8"/>
  <c r="F153" i="8"/>
  <c r="G159" i="8"/>
  <c r="F166" i="8"/>
  <c r="G154" i="8"/>
  <c r="G165" i="8"/>
  <c r="G164" i="8"/>
  <c r="G149" i="8"/>
  <c r="G158" i="8"/>
  <c r="G153" i="8"/>
  <c r="G161" i="8"/>
  <c r="G162" i="8"/>
  <c r="G155" i="8"/>
  <c r="G163" i="8"/>
  <c r="G156" i="8"/>
  <c r="G157" i="8"/>
  <c r="G150" i="8"/>
  <c r="G166" i="8"/>
  <c r="B152" i="8"/>
  <c r="B158" i="8"/>
  <c r="B151" i="8"/>
  <c r="B150" i="8"/>
  <c r="B148" i="8"/>
  <c r="B166" i="8"/>
  <c r="B167" i="8"/>
  <c r="B159" i="8"/>
  <c r="B160" i="8"/>
  <c r="H158" i="8"/>
  <c r="D128" i="8"/>
  <c r="D134" i="8"/>
  <c r="I134" i="8" s="1"/>
  <c r="C128" i="8"/>
  <c r="D113" i="8"/>
  <c r="E164" i="8"/>
  <c r="F159" i="8"/>
  <c r="F152" i="8"/>
  <c r="F155" i="8"/>
  <c r="E155" i="8"/>
  <c r="F163" i="8"/>
  <c r="F164" i="8"/>
  <c r="D127" i="8"/>
  <c r="H159" i="8"/>
  <c r="H161" i="8"/>
  <c r="H167" i="8"/>
  <c r="H160" i="8"/>
  <c r="H153" i="8"/>
  <c r="C141" i="8"/>
  <c r="I141" i="8" s="1"/>
  <c r="C136" i="8"/>
  <c r="B162" i="8"/>
  <c r="E156" i="8"/>
  <c r="F160" i="8"/>
  <c r="H155" i="8"/>
  <c r="E163" i="8"/>
  <c r="F156" i="8"/>
  <c r="E161" i="8"/>
  <c r="D112" i="8"/>
  <c r="D114" i="8"/>
  <c r="D154" i="8"/>
  <c r="I142" i="8"/>
  <c r="C119" i="8"/>
  <c r="D115" i="8"/>
  <c r="D126" i="8"/>
  <c r="I126" i="8" s="1"/>
  <c r="C121" i="8"/>
  <c r="D136" i="8"/>
  <c r="D111" i="8"/>
  <c r="D119" i="8"/>
  <c r="D116" i="8"/>
  <c r="D104" i="8"/>
  <c r="D109" i="8"/>
  <c r="D120" i="8"/>
  <c r="D137" i="8"/>
  <c r="I137" i="8" s="1"/>
  <c r="D117" i="8"/>
  <c r="D102" i="8"/>
  <c r="I102" i="8" s="1"/>
  <c r="C106" i="8"/>
  <c r="D121" i="8"/>
  <c r="C110" i="8"/>
  <c r="D103" i="8"/>
  <c r="D107" i="8"/>
  <c r="D105" i="8"/>
  <c r="D118" i="8"/>
  <c r="I131" i="8"/>
  <c r="D108" i="8"/>
  <c r="I139" i="8"/>
  <c r="C154" i="8"/>
  <c r="D106" i="8"/>
  <c r="C116" i="8"/>
  <c r="C120" i="8"/>
  <c r="I144" i="8"/>
  <c r="C108" i="8"/>
  <c r="C103" i="8"/>
  <c r="C112" i="8"/>
  <c r="C114" i="8"/>
  <c r="I135" i="8"/>
  <c r="C109" i="8"/>
  <c r="C132" i="8"/>
  <c r="I132" i="8" s="1"/>
  <c r="C117" i="8"/>
  <c r="C140" i="8"/>
  <c r="I140" i="8" s="1"/>
  <c r="C105" i="8"/>
  <c r="C118" i="8"/>
  <c r="C107" i="8"/>
  <c r="C138" i="8"/>
  <c r="I138" i="8" s="1"/>
  <c r="C115" i="8"/>
  <c r="C111" i="8"/>
  <c r="C113" i="8"/>
  <c r="J336" i="8" l="1"/>
  <c r="L242" i="8"/>
  <c r="M241" i="8" s="1"/>
  <c r="I110" i="8"/>
  <c r="I184" i="8"/>
  <c r="I190" i="8"/>
  <c r="K203" i="8"/>
  <c r="K213" i="8"/>
  <c r="I207" i="8"/>
  <c r="K206" i="8"/>
  <c r="I180" i="8"/>
  <c r="K209" i="8"/>
  <c r="K211" i="8"/>
  <c r="K214" i="8"/>
  <c r="K195" i="8"/>
  <c r="I181" i="8"/>
  <c r="I187" i="8"/>
  <c r="I171" i="8"/>
  <c r="L213" i="8"/>
  <c r="I186" i="8"/>
  <c r="I189" i="8"/>
  <c r="I182" i="8"/>
  <c r="I176" i="8"/>
  <c r="I185" i="8"/>
  <c r="I128" i="8"/>
  <c r="K208" i="8"/>
  <c r="K212" i="8"/>
  <c r="K204" i="8"/>
  <c r="O209" i="8"/>
  <c r="O211" i="8"/>
  <c r="K197" i="8"/>
  <c r="K198" i="8"/>
  <c r="I172" i="8"/>
  <c r="K200" i="8"/>
  <c r="K199" i="8"/>
  <c r="I173" i="8"/>
  <c r="L204" i="8"/>
  <c r="L196" i="8"/>
  <c r="I175" i="8"/>
  <c r="I174" i="8"/>
  <c r="L200" i="8"/>
  <c r="L199" i="8"/>
  <c r="I178" i="8"/>
  <c r="I188" i="8"/>
  <c r="I201" i="8"/>
  <c r="I183" i="8"/>
  <c r="I213" i="8"/>
  <c r="I208" i="8"/>
  <c r="I177" i="8"/>
  <c r="L202" i="8"/>
  <c r="I212" i="8"/>
  <c r="L208" i="8"/>
  <c r="L205" i="8"/>
  <c r="L197" i="8"/>
  <c r="I197" i="8"/>
  <c r="I196" i="8"/>
  <c r="I209" i="8"/>
  <c r="L201" i="8"/>
  <c r="I179" i="8"/>
  <c r="I202" i="8"/>
  <c r="L210" i="8"/>
  <c r="I210" i="8"/>
  <c r="L212" i="8"/>
  <c r="I214" i="8"/>
  <c r="L203" i="8"/>
  <c r="L211" i="8"/>
  <c r="I199" i="8"/>
  <c r="I198" i="8"/>
  <c r="L206" i="8"/>
  <c r="I211" i="8"/>
  <c r="I200" i="8"/>
  <c r="I206" i="8"/>
  <c r="K210" i="8"/>
  <c r="K196" i="8"/>
  <c r="O204" i="8"/>
  <c r="L209" i="8"/>
  <c r="L198" i="8"/>
  <c r="L207" i="8"/>
  <c r="I205" i="8"/>
  <c r="I204" i="8"/>
  <c r="N205" i="8"/>
  <c r="K205" i="8"/>
  <c r="K202" i="8"/>
  <c r="L214" i="8"/>
  <c r="I203" i="8"/>
  <c r="N206" i="8"/>
  <c r="K201" i="8"/>
  <c r="O210" i="8"/>
  <c r="O202" i="8"/>
  <c r="O201" i="8"/>
  <c r="N203" i="8"/>
  <c r="N200" i="8"/>
  <c r="N202" i="8"/>
  <c r="O208" i="8"/>
  <c r="O200" i="8"/>
  <c r="N195" i="8"/>
  <c r="N208" i="8"/>
  <c r="N204" i="8"/>
  <c r="O198" i="8"/>
  <c r="N198" i="8"/>
  <c r="O197" i="8"/>
  <c r="O195" i="8"/>
  <c r="O207" i="8"/>
  <c r="N199" i="8"/>
  <c r="O199" i="8"/>
  <c r="O206" i="8"/>
  <c r="O203" i="8"/>
  <c r="N209" i="8"/>
  <c r="N207" i="8"/>
  <c r="O213" i="8"/>
  <c r="N214" i="8"/>
  <c r="N196" i="8"/>
  <c r="O212" i="8"/>
  <c r="N211" i="8"/>
  <c r="N210" i="8"/>
  <c r="O214" i="8"/>
  <c r="N197" i="8"/>
  <c r="N212" i="8"/>
  <c r="O205" i="8"/>
  <c r="N201" i="8"/>
  <c r="M196" i="8"/>
  <c r="M204" i="8"/>
  <c r="M200" i="8"/>
  <c r="M213" i="8"/>
  <c r="M201" i="8"/>
  <c r="M206" i="8"/>
  <c r="M210" i="8"/>
  <c r="M214" i="8"/>
  <c r="M209" i="8"/>
  <c r="M212" i="8"/>
  <c r="M195" i="8"/>
  <c r="M211" i="8"/>
  <c r="M205" i="8"/>
  <c r="M202" i="8"/>
  <c r="M198" i="8"/>
  <c r="M197" i="8"/>
  <c r="M203" i="8"/>
  <c r="M207" i="8"/>
  <c r="M208" i="8"/>
  <c r="M199" i="8"/>
  <c r="I121" i="8"/>
  <c r="I108" i="8"/>
  <c r="J214" i="8"/>
  <c r="J208" i="8"/>
  <c r="J200" i="8"/>
  <c r="J205" i="8"/>
  <c r="J212" i="8"/>
  <c r="J195" i="8"/>
  <c r="J206" i="8"/>
  <c r="J213" i="8"/>
  <c r="J210" i="8"/>
  <c r="J209" i="8"/>
  <c r="J198" i="8"/>
  <c r="J199" i="8"/>
  <c r="J211" i="8"/>
  <c r="J204" i="8"/>
  <c r="J207" i="8"/>
  <c r="J202" i="8"/>
  <c r="J203" i="8"/>
  <c r="J201" i="8"/>
  <c r="J196" i="8"/>
  <c r="J197" i="8"/>
  <c r="I119" i="8"/>
  <c r="I143" i="8"/>
  <c r="I103" i="8"/>
  <c r="I127" i="8"/>
  <c r="I113" i="8"/>
  <c r="D165" i="8"/>
  <c r="I118" i="8"/>
  <c r="I120" i="8"/>
  <c r="D153" i="8"/>
  <c r="D164" i="8"/>
  <c r="D161" i="8"/>
  <c r="D158" i="8"/>
  <c r="D152" i="8"/>
  <c r="D157" i="8"/>
  <c r="D162" i="8"/>
  <c r="D148" i="8"/>
  <c r="D151" i="8"/>
  <c r="D166" i="8"/>
  <c r="D149" i="8"/>
  <c r="D163" i="8"/>
  <c r="D160" i="8"/>
  <c r="D167" i="8"/>
  <c r="D159" i="8"/>
  <c r="I154" i="8"/>
  <c r="D150" i="8"/>
  <c r="I111" i="8"/>
  <c r="D156" i="8"/>
  <c r="I112" i="8"/>
  <c r="D155" i="8"/>
  <c r="I136" i="8"/>
  <c r="C148" i="8"/>
  <c r="C150" i="8"/>
  <c r="C161" i="8"/>
  <c r="C157" i="8"/>
  <c r="C153" i="8"/>
  <c r="C152" i="8"/>
  <c r="C156" i="8"/>
  <c r="C162" i="8"/>
  <c r="C163" i="8"/>
  <c r="C160" i="8"/>
  <c r="C149" i="8"/>
  <c r="C164" i="8"/>
  <c r="C158" i="8"/>
  <c r="C151" i="8"/>
  <c r="I114" i="8"/>
  <c r="C159" i="8"/>
  <c r="C165" i="8"/>
  <c r="C155" i="8"/>
  <c r="C166" i="8"/>
  <c r="C167" i="8"/>
  <c r="I105" i="8"/>
  <c r="I115" i="8"/>
  <c r="I106" i="8"/>
  <c r="I117" i="8"/>
  <c r="I116" i="8"/>
  <c r="I104" i="8"/>
  <c r="I107" i="8"/>
  <c r="I109" i="8"/>
  <c r="J109" i="8" l="1"/>
  <c r="I150" i="8"/>
  <c r="M243" i="8"/>
  <c r="M253" i="8"/>
  <c r="M242" i="8"/>
  <c r="M246" i="8"/>
  <c r="M256" i="8"/>
  <c r="M255" i="8"/>
  <c r="M248" i="8"/>
  <c r="M245" i="8"/>
  <c r="M244" i="8"/>
  <c r="M250" i="8"/>
  <c r="M257" i="8"/>
  <c r="M247" i="8"/>
  <c r="M254" i="8"/>
  <c r="M260" i="8"/>
  <c r="J171" i="8"/>
  <c r="M258" i="8"/>
  <c r="M251" i="8"/>
  <c r="M249" i="8"/>
  <c r="M259" i="8"/>
  <c r="M252" i="8"/>
  <c r="J102" i="8"/>
  <c r="J175" i="8"/>
  <c r="J133" i="8"/>
  <c r="P199" i="8"/>
  <c r="J172" i="8"/>
  <c r="J128" i="8"/>
  <c r="I152" i="8"/>
  <c r="J181" i="8"/>
  <c r="J108" i="8"/>
  <c r="J173" i="8"/>
  <c r="J189" i="8"/>
  <c r="J188" i="8"/>
  <c r="J190" i="8"/>
  <c r="P212" i="8"/>
  <c r="J184" i="8"/>
  <c r="P213" i="8"/>
  <c r="P200" i="8"/>
  <c r="J182" i="8"/>
  <c r="P198" i="8"/>
  <c r="P202" i="8"/>
  <c r="P204" i="8"/>
  <c r="J180" i="8"/>
  <c r="J179" i="8"/>
  <c r="P211" i="8"/>
  <c r="J187" i="8"/>
  <c r="J183" i="8"/>
  <c r="J176" i="8"/>
  <c r="P208" i="8"/>
  <c r="J178" i="8"/>
  <c r="J186" i="8"/>
  <c r="P209" i="8"/>
  <c r="P197" i="8"/>
  <c r="J177" i="8"/>
  <c r="J185" i="8"/>
  <c r="J174" i="8"/>
  <c r="P207" i="8"/>
  <c r="P206" i="8"/>
  <c r="P201" i="8"/>
  <c r="P205" i="8"/>
  <c r="P196" i="8"/>
  <c r="P203" i="8"/>
  <c r="P210" i="8"/>
  <c r="P214" i="8"/>
  <c r="J136" i="8"/>
  <c r="I165" i="8"/>
  <c r="I163" i="8"/>
  <c r="J103" i="8"/>
  <c r="I155" i="8"/>
  <c r="I160" i="8"/>
  <c r="J104" i="8"/>
  <c r="I158" i="8"/>
  <c r="I149" i="8"/>
  <c r="I159" i="8"/>
  <c r="I162" i="8"/>
  <c r="I156" i="8"/>
  <c r="I166" i="8"/>
  <c r="I161" i="8"/>
  <c r="I148" i="8"/>
  <c r="I151" i="8"/>
  <c r="J125" i="8"/>
  <c r="J131" i="8"/>
  <c r="I153" i="8"/>
  <c r="I167" i="8"/>
  <c r="I164" i="8"/>
  <c r="I157" i="8"/>
  <c r="J141" i="8"/>
  <c r="J144" i="8"/>
  <c r="J139" i="8"/>
  <c r="J142" i="8"/>
  <c r="J140" i="8"/>
  <c r="J126" i="8"/>
  <c r="J135" i="8"/>
  <c r="J138" i="8"/>
  <c r="J137" i="8"/>
  <c r="J143" i="8"/>
  <c r="J130" i="8"/>
  <c r="J134" i="8"/>
  <c r="J132" i="8"/>
  <c r="J129" i="8"/>
  <c r="J127" i="8"/>
  <c r="J105" i="8"/>
  <c r="J120" i="8"/>
  <c r="J118" i="8"/>
  <c r="J111" i="8"/>
  <c r="J116" i="8"/>
  <c r="J110" i="8"/>
  <c r="J106" i="8"/>
  <c r="J117" i="8"/>
  <c r="J115" i="8"/>
  <c r="J107" i="8"/>
  <c r="J112" i="8"/>
  <c r="J113" i="8"/>
  <c r="J119" i="8"/>
  <c r="J121" i="8"/>
  <c r="J114" i="8"/>
  <c r="N252" i="8" l="1"/>
  <c r="N247" i="8"/>
  <c r="N246" i="8"/>
  <c r="N254" i="8"/>
  <c r="N256" i="8"/>
  <c r="N259" i="8"/>
  <c r="N253" i="8"/>
  <c r="N251" i="8"/>
  <c r="N258" i="8"/>
  <c r="N245" i="8"/>
  <c r="N242" i="8"/>
  <c r="N249" i="8"/>
  <c r="N243" i="8"/>
  <c r="N248" i="8"/>
  <c r="N257" i="8"/>
  <c r="N250" i="8"/>
  <c r="N244" i="8"/>
  <c r="N260" i="8"/>
  <c r="N255" i="8"/>
  <c r="N241" i="8"/>
  <c r="J148" i="8"/>
  <c r="Q208" i="8"/>
  <c r="Q210" i="8"/>
  <c r="Q200" i="8"/>
  <c r="Q202" i="8"/>
  <c r="Q199" i="8"/>
  <c r="Q196" i="8"/>
  <c r="Q201" i="8"/>
  <c r="Q213" i="8"/>
  <c r="Q205" i="8"/>
  <c r="Q203" i="8"/>
  <c r="Q198" i="8"/>
  <c r="Q209" i="8"/>
  <c r="J158" i="8"/>
  <c r="Q207" i="8"/>
  <c r="Q212" i="8"/>
  <c r="Q197" i="8"/>
  <c r="Q211" i="8"/>
  <c r="Q206" i="8"/>
  <c r="Q214" i="8"/>
  <c r="Q204" i="8"/>
  <c r="J154" i="8"/>
  <c r="J164" i="8"/>
  <c r="J161" i="8"/>
  <c r="J160" i="8"/>
  <c r="J149" i="8"/>
  <c r="J166" i="8"/>
  <c r="J151" i="8"/>
  <c r="J159" i="8"/>
  <c r="J157" i="8"/>
  <c r="J167" i="8"/>
  <c r="J165" i="8"/>
  <c r="J153" i="8"/>
  <c r="J162" i="8"/>
  <c r="J155" i="8"/>
  <c r="J152" i="8"/>
  <c r="J150" i="8"/>
  <c r="J156" i="8"/>
  <c r="J163" i="8"/>
  <c r="C36"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<sst xmlns="http://schemas.openxmlformats.org/spreadsheetml/2006/main" count="1385" uniqueCount="243">
  <si>
    <t>Piemonte</t>
  </si>
  <si>
    <t>Valle d'Aosta/Vallée d'Aoste</t>
  </si>
  <si>
    <t>Liguria</t>
  </si>
  <si>
    <t>Lombardia</t>
  </si>
  <si>
    <t>Trentino-Alto Adige/Südtirol</t>
  </si>
  <si>
    <t>Provincia Autonoma di Bolzano/Bozen</t>
  </si>
  <si>
    <t>Provincia Autonoma di Trento</t>
  </si>
  <si>
    <t>Veneto</t>
  </si>
  <si>
    <t>Friuli-Venezia Giulia</t>
  </si>
  <si>
    <t>Emilia-Romagna</t>
  </si>
  <si>
    <t>Toscana</t>
  </si>
  <si>
    <t>Umbria</t>
  </si>
  <si>
    <t>Marche</t>
  </si>
  <si>
    <t>Lazio</t>
  </si>
  <si>
    <t>Abruzzo</t>
  </si>
  <si>
    <t>Molise</t>
  </si>
  <si>
    <t>Campania</t>
  </si>
  <si>
    <t>Puglia</t>
  </si>
  <si>
    <t>Basilicata</t>
  </si>
  <si>
    <t>Calabria</t>
  </si>
  <si>
    <t>Sicilia</t>
  </si>
  <si>
    <t>Sardegna</t>
  </si>
  <si>
    <t>Nord</t>
  </si>
  <si>
    <t>Nord-ovest</t>
  </si>
  <si>
    <t>Nord-est</t>
  </si>
  <si>
    <t>Centro</t>
  </si>
  <si>
    <t>Mezzogiorno</t>
  </si>
  <si>
    <t>Sud</t>
  </si>
  <si>
    <t>Isole</t>
  </si>
  <si>
    <t>Italia</t>
  </si>
  <si>
    <t>Istat - Indagine multiscopo sugli aspetti della vita quotidiana</t>
  </si>
  <si>
    <t>Istruzione e formazione</t>
  </si>
  <si>
    <t>Bambini di 0-2 anni iscritti al nido</t>
  </si>
  <si>
    <t>Partecipazione al sistema scolastico dei bambini di 4-5 anni</t>
  </si>
  <si>
    <t>Istat - Elaborazione su dati Ministero dell'Istruzione e del Merito</t>
  </si>
  <si>
    <t>Persone con almeno il diploma (25-64 anni)</t>
  </si>
  <si>
    <t>Istat - Rilevazione sulle Forze di lavoro</t>
  </si>
  <si>
    <t>Laureati e altri titoli terziari (25-34 anni)</t>
  </si>
  <si>
    <t>Passaggio all'università</t>
  </si>
  <si>
    <t>Ministero dell'Istruzione e del Merito; Ministero dell'Università e Ricerca</t>
  </si>
  <si>
    <t>Uscita precoce dal sistema di istruzione e formazione</t>
  </si>
  <si>
    <t>Giovani che non lavorano e non studiano (NEET)</t>
  </si>
  <si>
    <t>Partecipazione alla formazione continua</t>
  </si>
  <si>
    <t>Competenza alfabetica non adeguata (studenti classi III scuola secondaria primo grado)</t>
  </si>
  <si>
    <t>Invalsi - Rilevazioni nazionali sugli apprendimenti</t>
  </si>
  <si>
    <t>Competenza numerica non adeguata (studenti classi III scuola secondaria primo grado)</t>
  </si>
  <si>
    <t>Competenze digitali almeno di base</t>
  </si>
  <si>
    <t>Persone che conseguono un titolo terziario STEM nell'anno</t>
  </si>
  <si>
    <t>Istat - Elaborazione su dati Ministero dell'Università e della Ricerca</t>
  </si>
  <si>
    <t>Partecipazione culturale fuori casa</t>
  </si>
  <si>
    <t>Lettura di libri e quotidiani</t>
  </si>
  <si>
    <t>Fruizione delle biblioteche</t>
  </si>
  <si>
    <t>Tasso di occupazione (20-64 anni)</t>
  </si>
  <si>
    <t>Tasso di mancata partecipazione al lavoro</t>
  </si>
  <si>
    <t>Trasformazioni da lavori instabili a lavori stabili</t>
  </si>
  <si>
    <t>Occupati in lavori a termine da almeno 5 anni</t>
  </si>
  <si>
    <t>Dipendenti con bassa paga</t>
  </si>
  <si>
    <t>Occupati sovraistruiti tra i laureati (25-64 anni)</t>
  </si>
  <si>
    <t>Tasso di infortuni sul lavoro mortali e con inabilità permanente</t>
  </si>
  <si>
    <t>Inail</t>
  </si>
  <si>
    <t>Occupati non regolari</t>
  </si>
  <si>
    <t>Istat - Contabilità Nazionale</t>
  </si>
  <si>
    <t>Rapporto tra i tassi di occupazione (25-49 anni) delle donne con figli in età prescolare e delle donne senza figli</t>
  </si>
  <si>
    <t>Occupati (15-64 anni) che svolgono più di 60 ore settimanali di lavoro retribuito e/o familiare</t>
  </si>
  <si>
    <t>Istat - Indagine Uso del tempo</t>
  </si>
  <si>
    <t>Asimmetria nel lavoro familiare</t>
  </si>
  <si>
    <t>Istat - Indagine Uso del tempo; Indagine multiscopo sugli aspetti della vita quotidiana</t>
  </si>
  <si>
    <t>Soddisfazione per il lavoro svolto</t>
  </si>
  <si>
    <t>Percezione di insicurezza dell'occupazione</t>
  </si>
  <si>
    <t>Part time involontario</t>
  </si>
  <si>
    <t>Occupati che lavorano da casa</t>
  </si>
  <si>
    <t>Relazioni sociali</t>
  </si>
  <si>
    <t>Soddisfazione per le relazioni familiari</t>
  </si>
  <si>
    <t>Soddisfazione per le relazioni amicali</t>
  </si>
  <si>
    <t>Persone su cui contare</t>
  </si>
  <si>
    <t>Partecipazione sociale</t>
  </si>
  <si>
    <t>Partecipazione civica e politica</t>
  </si>
  <si>
    <t>Fiducia generalizzata</t>
  </si>
  <si>
    <t>Attività di volontariato</t>
  </si>
  <si>
    <t>Finanziamento delle associazioni</t>
  </si>
  <si>
    <t>Organizzazioni non profit</t>
  </si>
  <si>
    <t>Istat - Censimento sulle istituzioni non profit; Registro statistico delle istituzioni non profit</t>
  </si>
  <si>
    <t>Soddisfazione per la propria vita</t>
  </si>
  <si>
    <t>Soddisfazione per il tempo libero</t>
  </si>
  <si>
    <t>Territorio</t>
  </si>
  <si>
    <t>Passaggio all'universitÃ </t>
  </si>
  <si>
    <t>NA</t>
  </si>
  <si>
    <t>Valle d'Aosta</t>
  </si>
  <si>
    <t>Trentino-Alto Adige</t>
  </si>
  <si>
    <t>Occupati sovraistruiti</t>
  </si>
  <si>
    <t>Tasso di infortuni mortali e inabilitÃ  permanente</t>
  </si>
  <si>
    <t>Rapporto tra i tassi di occupazione (25-49 anni) delle donne con figli in etÃ  prescolare e delle donne senza figli</t>
  </si>
  <si>
    <t>Occupati (15-64 anni) che svolgono piÃ¹ di 60 ore settimanali di lavoro retribuito e/o familiare</t>
  </si>
  <si>
    <t>Attivita  di volontariato</t>
  </si>
  <si>
    <t>Bambini di 0-2 anni iscritti al nido (per 100 bambini di 0-2 anni)</t>
  </si>
  <si>
    <t>Percentuale di bambini di 4-5 anni che frequentano la scuola dell'infanzia o il primo anno di scuola primaria sul totale dei bambini di 4-5 anni.</t>
  </si>
  <si>
    <t>Percentuale di persone di 25-64 anni che hanno completato almeno la scuola secondaria di II grado (titolo non inferiore a Isced 3) sul totale delle persone di 25-64 anni.</t>
  </si>
  <si>
    <t>Percentuale di persone di 25-34 anni che hanno conseguito un titolo di livello terziario (Isced 5, 6, 7 o 8) sul totale delle persone di 25-34 anni.</t>
  </si>
  <si>
    <t>Percentuale di neo-diplomati che si iscrivono per la prima volta all'università nello stesso anno in cui hanno conseguito il diploma di scuola secondaria di II grado (tasso specifico di coorte). Sono esclusi gli iscritti a Istituti Tecnici Superiori, Istituti di Alta Formazione Artistica, Musicale e Coreutica, Scuole superiori per Mediatori linguistici e presso università straniere.</t>
  </si>
  <si>
    <t>Percentuale di persone di 18-24 anni con al più il diploma di scuola secondaria di primo grado (licenza media) non inserite in un percorso di istruzione o formazione</t>
  </si>
  <si>
    <t>Percentuale di persone di 15-29 anni né occupate né inserite in un percorso di istruzione o formazione sul totale delle persone di 15-29 anni.</t>
  </si>
  <si>
    <t>Percentuale di studenti delle classi III della scuola secondaria di primo grado che non raggiungono un livello sufficiente (Livello I + Livello II di 5 livelli) di competenza alfabetica</t>
  </si>
  <si>
    <t>Percentuale di studenti delle classi III della scuola secondaria di primo grado che non raggiungono un livello sufficiente (Livello I + Livello II di 5 livelli) di competenza numerica</t>
  </si>
  <si>
    <t>Persone di 16-74 anni che hanno competenze digitali almeno di base per tutti i 5 domini individuati dal “Digital competence framework 2.0”. I domini considerati sono Alfabetizzazione su informazioni e dati, Comunicazione e collaborazione, Creazione di contenuti digitali, Sicurezza, Risoluzione di problemi. Per ogni dominio in base al numero di attività svolte vengono definiti due livelli di competenza “base” e “superiore a base”.</t>
  </si>
  <si>
    <t>Rapporto tra i residenti nella regione che hanno conseguito nell’anno solare di riferimento un titolo di livello terziario nelle discipline scientifico-tecnologiche e la popolazione di 20-29 anni della stessa regione, per mille. Il numeratore comprende i laureati, i dottori di ricerca, i diplomati dei corsi di specializzazione, dei master di I e II livello e degli ITS (livelli 5-8 della classificazione internazionale Isced 2011) che hanno conseguito il titolo nelle aree disciplinari di Scienze naturali, Fisica, Matematica, Statistica, Informatica, Ingegneria dell’informazione, Ingegneria industriale, Architettura e Ingegneria civile.</t>
  </si>
  <si>
    <t>Percentuale di persone di 6 anni e più che hanno praticato 2 o più attività culturali nei 12 mesi precedenti l’intervista sul totale delle persone di 6 anni e più. Le attività considerate sono 6: si sono recate almeno quattro volte al cinema; almeno una volta rispettivamente a: teatro; musei e/o mostre; siti archeologici, monumenti; concerti di musica classica, opera; concerti di altra musica.</t>
  </si>
  <si>
    <t>Percentuale di persone di 6 anni e più che hanno letto almeno quattro libri l’anno (libri cartacei, e-book, libri on line, audiolibri) per motivi non strettamente scolastici o professionali e/o hanno letto quotidiani (cartacei e/o on line) almeno tre volte a settimana sul totale delle persone di 6 anni e più.</t>
  </si>
  <si>
    <t>Percentuale di persone di 3 anni e più che sono andate in biblioteca almeno una volta nei 12 mesi precedenti l'intervista sul totale delle persone di 3 anni e più.</t>
  </si>
  <si>
    <t>Dominio</t>
  </si>
  <si>
    <t>N.</t>
  </si>
  <si>
    <t>Indicatore</t>
  </si>
  <si>
    <t>Definizione</t>
  </si>
  <si>
    <t>Fonte</t>
  </si>
  <si>
    <t>Lavoro e conciliazione tempi di vita</t>
  </si>
  <si>
    <t>Percentuale di occupati di 20-64 anni sulla popolazione di 20-64 anni.</t>
  </si>
  <si>
    <t>Rapporto tra la somma di disoccupati e inattivi "disponibili" (persone che non hanno cercato lavoro nelle ultime 4 settimane ma sono disponibili a lavorare), e la somma di forze lavoro (insieme di occupati e disoccupati) e inattivi "disponibili", riferito alla popolazione tra 15 e 74 anni.</t>
  </si>
  <si>
    <t>Percentuale di occupati in lavori instabili al tempo t0 (dipendenti a termine + collaboratori) che a un anno di distanza svolgono un lavoro stabile (dipendenti a tempo indeterminato) sul totale degli occupati in lavori instabili al tempo t0.</t>
  </si>
  <si>
    <t>Percentuale di dipendenti a tempo determinato e collaboratori che hanno iniziato l'attuale lavoro da almeno 5 anni sul totale dei dipendenti a tempo determinato e collaboratori.</t>
  </si>
  <si>
    <t>Percentuale di dipendenti con una retribuzione oraria inferiore a 2/3 di quella mediana sul totale dei dipendenti.</t>
  </si>
  <si>
    <t>Percentuale di occupati di 25-64 anni con titolo di studio terziario (ISCED 5-8) che svolgono una professione di media o bassa qualifica (ISCO 4-9) sul totale degli occupati con titolo di studio terziario.</t>
  </si>
  <si>
    <t>Numero di infortuni sul lavoro mortali e con inabilità permanente sul totale degli occupati (al netto delle forze armate) per 10.000.</t>
  </si>
  <si>
    <t>Percentuale di occupati che non rispettano la normativa vigente in materia lavoristica, fiscale e contributiva sul totale degli occupati.</t>
  </si>
  <si>
    <t>Tasso di occupazione delle donne di 25-49 anni con almeno un figlio in età 0-5 anni sul tasso di occupazione delle donne di 25-49 anni senza figli per 100.</t>
  </si>
  <si>
    <t>Percentuale di occupati di 15-64 anni che svolgono più di 60 ore settimanali di lavoro retribuito e/o familiare sul totale degli occupati di 15-64 anni.</t>
  </si>
  <si>
    <t>Tempo dedicato al lavoro familiare dalla donna di 25-44 anni sul totale del tempo dedicato al lavoro familiare da entrambi i partner, moltiplicato per 100. L'indicatore è calcolato per le coppie con entrambi i partner occupati in cui la donna ha un'età tra 25 e 44 anni. L'indicatore deriva dalla fonte Indagine Uso del tempo per gli anni 2008-09 e 2013-14, per gli anni intermedi e successivi vengono fornite delle stime basate sull'andamento del fenomeno desunto dall'Indagine Aspetti della vita quotidiana.</t>
  </si>
  <si>
    <t>Percentuale di occupati che hanno espresso un punteggio medio di soddisfazione tra 8 e 10 per i seguenti aspetti del lavoro svolto: guadagno, opportunità di carriera, numero di ore lavorate, stabilità del posto, distanza casa-lavoro, interesse per il lavoro.</t>
  </si>
  <si>
    <t>Percentuale di occupati che nei successivi 6 mesi ritengono sia probabile perdere il lavoro attuale e sia poco o per nulla probabile trovarne un altro simile sul totale degli occupati.</t>
  </si>
  <si>
    <t>Percentuale di occupati che dichiarano di svolgere un lavoro a tempo parziale perché non ne hanno trovato uno a tempo pieno sul totale degli occupati.</t>
  </si>
  <si>
    <t>Percentuale di occupati che hanno svolto il loro lavoro da casa nelle ultime 4 settimane sul totale degli occupati.</t>
  </si>
  <si>
    <t>Percentuale di persone di 14 anni e più che sono molto soddisfatte delle relazioni familiari sul totale delle persone di 14 anni e più.</t>
  </si>
  <si>
    <t>Percentuale di persone di 14 anni e più che sono molto soddisfatte delle relazioni con amici sul totale delle persone di 14 anni e più.</t>
  </si>
  <si>
    <t>Percentuale di persone di 14 anni e più che hanno parenti non conviventi (escludendo genitori, figli, fratelli, sorelle, nonni, nipoti), amici o vicini su cui contare sul totale delle persone di 14 anni e più.</t>
  </si>
  <si>
    <t>Persone di 14 anni e più che negli ultimi 12 mesi hanno svolto almeno una attività di partecipazione sociale sul totale delle persone di 14 anni e più. Le attività considerate sono: partecipare a incontri o iniziative (culturali, sportive, ricreative, spirituali) realizzati o promossi da parrocchie, congregazioni o gruppi religiosi o spirituali; partecipare a riunioni di associazioni culturali, ricreative o di altro tipo; partecipare a riunioni di associazioni ecologiste, per i diritti civili, per la pace; partecipare a riunioni di organizzazioni sindacali; partecipare a riunioni di associazioni professionali o di categoria; partecipare a riunioni di partiti politici; svolgere attività gratuita per un partito; pagare una retta mensile o periodica per un circolo/club sportivo.</t>
  </si>
  <si>
    <t>Percentuale di persone di 14 anni e più che svolgono almeno una attività di partecipazione civica e politica sul totale delle persone di 14 anni e più. Le attività considerate sono: parlare di politica almeno una volta a settimana; informarsi dei fatti della politica italiana almeno una volta a settimana; partecipare online a consultazioni o votazioni su problemi sociali (civici) o politici (es. pianificazione urbana, firmare una petizione) almeno una volta nei 3 mesi precedenti l'intervista; esprimere opinioni su temi sociali o politici attraverso siti web o social media almeno una volta nei 3 mesi precedenti l'intervista.</t>
  </si>
  <si>
    <t>Percentuale di persone di 14 anni e più che ritengono che gran parte della gente sia degna di fiducia sul totale delle persone di 14 anni e più.</t>
  </si>
  <si>
    <t>Persone di 14 anni e più che negli ultimi 12 mesi hanno svolto attività gratuita per associazioni o gruppi di volontariato sul totale delle persone di 14 anni e più.</t>
  </si>
  <si>
    <t>Persone di 14 anni e più che negli ultimi 12 mesi hanno finanziato associazioni sul totale delle persone di 14 anni e più.</t>
  </si>
  <si>
    <t>Numero di organizzazioni non profit per 10.000 abitanti</t>
  </si>
  <si>
    <t>come abbiamo deciso di trattare NA per la Provincia Autonoma di Bolzano/Bozen</t>
  </si>
  <si>
    <t>Competenza alfabetica adeguata (studenti classi III scuola secondaria primo grado)</t>
  </si>
  <si>
    <t>Competenza numerica  adeguata (studenti classi III scuola secondaria primo grado)</t>
  </si>
  <si>
    <t>Competenze digitali</t>
  </si>
  <si>
    <r>
      <t xml:space="preserve">Apprendimento precoce </t>
    </r>
    <r>
      <rPr>
        <sz val="12"/>
        <color rgb="FF000000"/>
        <rFont val="Times New Roman"/>
        <family val="1"/>
      </rPr>
      <t>→</t>
    </r>
    <r>
      <rPr>
        <sz val="12"/>
        <color rgb="FF000000"/>
        <rFont val="Times"/>
      </rPr>
      <t xml:space="preserve"> 17%</t>
    </r>
  </si>
  <si>
    <r>
      <t xml:space="preserve">Competenze di base </t>
    </r>
    <r>
      <rPr>
        <sz val="12"/>
        <color rgb="FF000000"/>
        <rFont val="Times New Roman"/>
        <family val="1"/>
      </rPr>
      <t>→</t>
    </r>
    <r>
      <rPr>
        <sz val="12"/>
        <color rgb="FF000000"/>
        <rFont val="Times"/>
      </rPr>
      <t xml:space="preserve"> 25%</t>
    </r>
  </si>
  <si>
    <r>
      <t xml:space="preserve">Apertura culturale </t>
    </r>
    <r>
      <rPr>
        <sz val="12"/>
        <color rgb="FF000000"/>
        <rFont val="Times New Roman"/>
        <family val="1"/>
      </rPr>
      <t>→</t>
    </r>
    <r>
      <rPr>
        <sz val="12"/>
        <color rgb="FF000000"/>
        <rFont val="Times"/>
      </rPr>
      <t xml:space="preserve"> 16%</t>
    </r>
  </si>
  <si>
    <r>
      <t xml:space="preserve">Capacità digitale </t>
    </r>
    <r>
      <rPr>
        <sz val="12"/>
        <color rgb="FF000000"/>
        <rFont val="Times New Roman"/>
        <family val="1"/>
      </rPr>
      <t>→</t>
    </r>
    <r>
      <rPr>
        <sz val="12"/>
        <color rgb="FF000000"/>
        <rFont val="Times"/>
      </rPr>
      <t xml:space="preserve"> 25%</t>
    </r>
  </si>
  <si>
    <r>
      <t xml:space="preserve">Risultato educativo </t>
    </r>
    <r>
      <rPr>
        <sz val="12"/>
        <color rgb="FF000000"/>
        <rFont val="Times New Roman"/>
        <family val="1"/>
      </rPr>
      <t>→</t>
    </r>
    <r>
      <rPr>
        <sz val="12"/>
        <color rgb="FF000000"/>
        <rFont val="Times"/>
      </rPr>
      <t xml:space="preserve"> 17%</t>
    </r>
  </si>
  <si>
    <t xml:space="preserve">kendal </t>
  </si>
  <si>
    <t xml:space="preserve">Tabella con gli indicatori riguardanti le competenze inveriti </t>
  </si>
  <si>
    <t>APPROCCIO ORDINALE</t>
  </si>
  <si>
    <t>1s</t>
  </si>
  <si>
    <t>2S</t>
  </si>
  <si>
    <t xml:space="preserve">rango 2s </t>
  </si>
  <si>
    <t>APPROCCIO CARDINALE : somma dei valori sommati in %</t>
  </si>
  <si>
    <t xml:space="preserve">totale </t>
  </si>
  <si>
    <t>rango 5s</t>
  </si>
  <si>
    <t>APPROCCIO CARDINALE: campo di variazione</t>
  </si>
  <si>
    <t>3s</t>
  </si>
  <si>
    <t>rango 3s</t>
  </si>
  <si>
    <t xml:space="preserve"> 5s</t>
  </si>
  <si>
    <t>min</t>
  </si>
  <si>
    <t>max</t>
  </si>
  <si>
    <t xml:space="preserve">Tabella REGIONI con gli indicatori riguardanti le competenze inveriti </t>
  </si>
  <si>
    <t>rango 1s</t>
  </si>
  <si>
    <t>max-min</t>
  </si>
  <si>
    <t>APPROCCIO CARDINALE: scarti standardizzati</t>
  </si>
  <si>
    <t xml:space="preserve">APPROCCIO CARDINALE: base fissa (Italia) </t>
  </si>
  <si>
    <t>zij= xij-µj/σ</t>
  </si>
  <si>
    <t>rango 4s</t>
  </si>
  <si>
    <t>come media sono stati considerati i valori di Italia</t>
  </si>
  <si>
    <t>scarti  xij-µj</t>
  </si>
  <si>
    <t>quadrato degli scarti (xij-µj)^2</t>
  </si>
  <si>
    <t>stddev</t>
  </si>
  <si>
    <t>valori z</t>
  </si>
  <si>
    <t>s4</t>
  </si>
  <si>
    <t xml:space="preserve">DISTANZA DALL'UNITà IDEALE </t>
  </si>
  <si>
    <t>Zideale (max Z)</t>
  </si>
  <si>
    <t>Di0</t>
  </si>
  <si>
    <t>media Di0</t>
  </si>
  <si>
    <t>stadard deviation Di0</t>
  </si>
  <si>
    <t>D0</t>
  </si>
  <si>
    <t>di</t>
  </si>
  <si>
    <t xml:space="preserve">DISTANZA WROCLAW </t>
  </si>
  <si>
    <t xml:space="preserve">MINIMO per riga </t>
  </si>
  <si>
    <t>VALUTAZIONE COMPARATIVA</t>
  </si>
  <si>
    <t>rango ws</t>
  </si>
  <si>
    <t>Regioni</t>
  </si>
  <si>
    <t>(R1s-R2s)^2</t>
  </si>
  <si>
    <t>(R1s-R3s)^2</t>
  </si>
  <si>
    <t>(R1s-R4s)^2</t>
  </si>
  <si>
    <t>(R1s-R5s)^2</t>
  </si>
  <si>
    <t>(R1s-Rws)^2</t>
  </si>
  <si>
    <t>(R2s-R3s)^2</t>
  </si>
  <si>
    <t>(R2s-R4s)^2</t>
  </si>
  <si>
    <t>(R2s-R5s)^2</t>
  </si>
  <si>
    <t>(R2s-Rws)^2</t>
  </si>
  <si>
    <t>(R3s-R4s)^2</t>
  </si>
  <si>
    <t>(R3s-R5s)^2</t>
  </si>
  <si>
    <t>(R3s-Rws)^2</t>
  </si>
  <si>
    <t>(R4s-R5s)^2</t>
  </si>
  <si>
    <t>(R4s-Rws)^2</t>
  </si>
  <si>
    <t>(R5s-Rws)^2</t>
  </si>
  <si>
    <t xml:space="preserve">Competenza alfabetica adeguata + Competenza numerica adeguata/2 (si fa la media perché sono ugualmente importanti </t>
  </si>
  <si>
    <t xml:space="preserve">Partecipazione culturale fuori casa + Lettura di libri e quotidiani /2 </t>
  </si>
  <si>
    <t>Competenze di base</t>
  </si>
  <si>
    <t>Apertura culturale</t>
  </si>
  <si>
    <t>PESI SCELTI </t>
  </si>
  <si>
    <t xml:space="preserve">INDICATORE SINTETICO </t>
  </si>
  <si>
    <t xml:space="preserve">indicatore sintetico </t>
  </si>
  <si>
    <t xml:space="preserve">spearman </t>
  </si>
  <si>
    <t xml:space="preserve">indicatori che verranno invertiti: </t>
  </si>
  <si>
    <t xml:space="preserve">Si effettua l'inversione perché a dei valori elevati corrispondono situazioni peggiori </t>
  </si>
  <si>
    <t>1. Competenza alfabetica non adeguata (studenti classi III scuola secondaria primo grado)</t>
  </si>
  <si>
    <t>2. Percentuale di studenti delle classi III della scuola secondaria di primo grado che non raggiungono un livello sufficiente (Livello I + Livello II di 5 livelli) di competenza alfabetica</t>
  </si>
  <si>
    <t>I valori sono in percentuale perciò per invertire i valori si calcola 100-X</t>
  </si>
  <si>
    <t>VALORI NON TENUTI IN CONSIDERAZIONE</t>
  </si>
  <si>
    <t>Non vengono inclusi i dati aggregati come le macroaree, l’Italia o le province autonome</t>
  </si>
  <si>
    <t>L'obiettivo di questa analisi è di valutare le differenze tra le singole regioni</t>
  </si>
  <si>
    <t>CONCORDANZA TRA LE DIVERSE METODOLOGIE: indice di cograduazione di Spearman e indice di cograduazione multipla di Kendall</t>
  </si>
  <si>
    <t>Spearman</t>
  </si>
  <si>
    <t>Kendall</t>
  </si>
  <si>
    <t>Matrice di corellazione di Spearman</t>
  </si>
  <si>
    <t xml:space="preserve">Aggregazione degli indicatori per sotto-dimensione e calcolo dll'indicatore sintetico per regione </t>
  </si>
  <si>
    <t>AGGREGAZIONE DEGLI INDICATORI</t>
  </si>
  <si>
    <t>RANGO indicatore</t>
  </si>
  <si>
    <t>RANGO soddisfazione</t>
  </si>
  <si>
    <t>INDICI DI COGRADUAZIONE</t>
  </si>
  <si>
    <t xml:space="preserve">GRADUATORIE INDICE SINTETICO E INDICE DI SODDISFAZIONE PER LA PROPRIA VITA </t>
  </si>
  <si>
    <t>Indicatore sintetico</t>
  </si>
  <si>
    <t>CONCORDANZA TRA I DIVERSI INDICI: indice di cograduazione di Spearman e indice di cograduazione multipla di Kendall</t>
  </si>
  <si>
    <t>SCARTI</t>
  </si>
  <si>
    <t>SCARTI ^2</t>
  </si>
  <si>
    <t>APPROCCIO CARDINALE: scarti standardizzati PER MACROAREE</t>
  </si>
  <si>
    <t>Aggregazione degli indicatori per sotto-dimensione e calcolo dll'indicatore sintetico per macroarea</t>
  </si>
  <si>
    <t>indicatore sintetico</t>
  </si>
  <si>
    <t>Confronto indice di soddisfazione e indice sintetico per macroaree</t>
  </si>
  <si>
    <t>rango</t>
  </si>
  <si>
    <t xml:space="preserve">Avendo un valore TIES nel rango della soddisfazione si usa la formula </t>
  </si>
  <si>
    <t xml:space="preserve">spearman= covarianza(RY,RX)/ stdevX * stdevY </t>
  </si>
  <si>
    <t>Differenza ranghi ^2</t>
  </si>
  <si>
    <t>somma quadrati</t>
  </si>
  <si>
    <t xml:space="preserve">correlazione positiva e perfetta tra l'indicatore sintetico e la soddisfazione per la propria vita nelle amacroaree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</si>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</sst>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font>
      <sz val="11"/>
      <color theme="1"/>
      <name val="Calibri"/>
      <family val="2"/>
      <scheme val="minor"/>
    </font>
    <font>
      <b/>
      <sz val="11"/>
      <color theme="1"/>
      <name val="Calibri"/>
      <family val="2"/>
      <scheme val="minor"/>
    </font>
    <font>
      <b/>
      <sz val="16"/>
      <color theme="1"/>
      <name val="Calibri"/>
      <family val="2"/>
      <scheme val="minor"/>
    </font>
    <font>
      <sz val="14"/>
      <color theme="1"/>
      <name val="Arial Narrow"/>
      <family val="2"/>
    </font>
    <font>
      <b/>
      <sz val="22"/>
      <color theme="0"/>
      <name val="Arial Narrow"/>
      <family val="2"/>
    </font>
    <font>
      <sz val="11"/>
      <color rgb="FF000000"/>
      <name val="Calibri"/>
      <family val="2"/>
      <scheme val="minor"/>
    </font>
    <font>
      <sz val="14"/>
      <color rgb="FF000000"/>
      <name val="-webkit-standard"/>
    </font>
    <font>
      <b/>
      <sz val="11"/>
      <color rgb="FF000000"/>
      <name val="Calibri"/>
      <family val="2"/>
      <scheme val="minor"/>
    </font>
    <font>
      <sz val="12"/>
      <color rgb="FF000000"/>
      <name val="Times"/>
    </font>
    <font>
      <sz val="12"/>
      <color rgb="FF000000"/>
      <name val="Times New Roman"/>
      <family val="1"/>
    </font>
    <font>
      <sz val="8"/>
      <name val="Calibri"/>
      <family val="2"/>
      <scheme val="minor"/>
    </font>
    <font>
      <sz val="11"/>
      <color rgb="FFFF0000"/>
      <name val="Calibri"/>
      <family val="2"/>
      <scheme val="minor"/>
    </font>
    <font>
      <sz val="11"/>
      <color rgb="FF000000"/>
      <name val="Helvetica Neue"/>
      <family val="2"/>
    </font>
    <font>
      <sz val="11"/>
      <color rgb="FFFF0000"/>
      <name val="Calibri (Corpo)"/>
    </font>
  </fonts>
  <fills count="10">
    <fill>
      <patternFill patternType="none"/>
    </fill>
    <fill>
      <patternFill patternType="gray125"/>
    </fill>
    <fill>
      <patternFill patternType="solid">
        <fgColor rgb="FFF37321"/>
        <bgColor indexed="64"/>
      </patternFill>
    </fill>
    <fill>
      <patternFill patternType="solid">
        <fgColor rgb="FFFBCCAF"/>
        <bgColor indexed="64"/>
      </patternFill>
    </fill>
    <fill>
      <patternFill patternType="solid">
        <fgColor rgb="FF0F9A52"/>
        <bgColor indexed="64"/>
      </patternFill>
    </fill>
    <fill>
      <patternFill patternType="solid">
        <fgColor rgb="FFA0F6C9"/>
        <bgColor indexed="64"/>
      </patternFill>
    </fill>
    <fill>
      <patternFill patternType="solid">
        <fgColor rgb="FF0070C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s>
  <borders count="38">
    <border>
      <left/>
      <right/>
      <top/>
      <bottom/>
      <diagonal/>
    </border>
    <border>
      <left style="thick">
        <color rgb="FFF37321"/>
      </left>
      <right style="medium">
        <color rgb="FFF37321"/>
      </right>
      <top/>
      <bottom/>
      <diagonal/>
    </border>
    <border>
      <left style="medium">
        <color rgb="FFF37321"/>
      </left>
      <right style="dotted">
        <color auto="1"/>
      </right>
      <top style="medium">
        <color rgb="FF0078AE"/>
      </top>
      <bottom style="dotted">
        <color auto="1"/>
      </bottom>
      <diagonal/>
    </border>
    <border>
      <left style="dotted">
        <color auto="1"/>
      </left>
      <right style="dotted">
        <color auto="1"/>
      </right>
      <top style="medium">
        <color rgb="FF0078AE"/>
      </top>
      <bottom style="dotted">
        <color auto="1"/>
      </bottom>
      <diagonal/>
    </border>
    <border>
      <left style="dotted">
        <color auto="1"/>
      </left>
      <right style="thick">
        <color rgb="FFF37321"/>
      </right>
      <top style="medium">
        <color rgb="FF0078AE"/>
      </top>
      <bottom style="dotted">
        <color auto="1"/>
      </bottom>
      <diagonal/>
    </border>
    <border>
      <left style="medium">
        <color rgb="FFF3732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ck">
        <color rgb="FFF37321"/>
      </right>
      <top style="dotted">
        <color auto="1"/>
      </top>
      <bottom style="dotted">
        <color auto="1"/>
      </bottom>
      <diagonal/>
    </border>
    <border>
      <left style="medium">
        <color rgb="FFF37321"/>
      </left>
      <right style="dotted">
        <color auto="1"/>
      </right>
      <top style="dotted">
        <color auto="1"/>
      </top>
      <bottom/>
      <diagonal/>
    </border>
    <border>
      <left style="dotted">
        <color auto="1"/>
      </left>
      <right style="dotted">
        <color auto="1"/>
      </right>
      <top style="dotted">
        <color auto="1"/>
      </top>
      <bottom/>
      <diagonal/>
    </border>
    <border>
      <left style="thick">
        <color rgb="FFF37321"/>
      </left>
      <right style="medium">
        <color rgb="FFF37321"/>
      </right>
      <top/>
      <bottom style="thick">
        <color rgb="FFF37321"/>
      </bottom>
      <diagonal/>
    </border>
    <border>
      <left style="medium">
        <color rgb="FFF37321"/>
      </left>
      <right style="dotted">
        <color auto="1"/>
      </right>
      <top style="dotted">
        <color auto="1"/>
      </top>
      <bottom style="thick">
        <color rgb="FFF37321"/>
      </bottom>
      <diagonal/>
    </border>
    <border>
      <left style="dotted">
        <color auto="1"/>
      </left>
      <right style="dotted">
        <color auto="1"/>
      </right>
      <top style="dotted">
        <color auto="1"/>
      </top>
      <bottom style="thick">
        <color rgb="FFF37321"/>
      </bottom>
      <diagonal/>
    </border>
    <border>
      <left style="dotted">
        <color auto="1"/>
      </left>
      <right style="thick">
        <color rgb="FFF37321"/>
      </right>
      <top style="dotted">
        <color auto="1"/>
      </top>
      <bottom style="thick">
        <color rgb="FFF37321"/>
      </bottom>
      <diagonal/>
    </border>
    <border>
      <left style="thin">
        <color indexed="64"/>
      </left>
      <right/>
      <top/>
      <bottom/>
      <diagonal/>
    </border>
    <border>
      <left style="thick">
        <color rgb="FF0F9A52"/>
      </left>
      <right style="thick">
        <color rgb="FF0F9A52"/>
      </right>
      <top style="thick">
        <color rgb="FFF37321"/>
      </top>
      <bottom/>
      <diagonal/>
    </border>
    <border>
      <left style="thick">
        <color rgb="FF0F9A52"/>
      </left>
      <right style="dotted">
        <color auto="1"/>
      </right>
      <top style="thick">
        <color rgb="FFF37321"/>
      </top>
      <bottom style="dotted">
        <color auto="1"/>
      </bottom>
      <diagonal/>
    </border>
    <border>
      <left style="dotted">
        <color auto="1"/>
      </left>
      <right style="dotted">
        <color auto="1"/>
      </right>
      <top style="thick">
        <color rgb="FFF37321"/>
      </top>
      <bottom style="dotted">
        <color auto="1"/>
      </bottom>
      <diagonal/>
    </border>
    <border>
      <left style="dotted">
        <color auto="1"/>
      </left>
      <right style="thick">
        <color rgb="FF0F9A52"/>
      </right>
      <top style="thick">
        <color rgb="FFF37321"/>
      </top>
      <bottom style="dotted">
        <color auto="1"/>
      </bottom>
      <diagonal/>
    </border>
    <border>
      <left style="thick">
        <color rgb="FF0F9A52"/>
      </left>
      <right style="thick">
        <color rgb="FF0F9A52"/>
      </right>
      <top/>
      <bottom/>
      <diagonal/>
    </border>
    <border>
      <left style="thick">
        <color rgb="FF0F9A52"/>
      </left>
      <right style="dotted">
        <color auto="1"/>
      </right>
      <top style="dotted">
        <color auto="1"/>
      </top>
      <bottom style="dotted">
        <color auto="1"/>
      </bottom>
      <diagonal/>
    </border>
    <border>
      <left style="dotted">
        <color auto="1"/>
      </left>
      <right style="thick">
        <color rgb="FF0F9A52"/>
      </right>
      <top style="dotted">
        <color auto="1"/>
      </top>
      <bottom style="dotted">
        <color auto="1"/>
      </bottom>
      <diagonal/>
    </border>
    <border>
      <left style="thick">
        <color rgb="FF0F9A52"/>
      </left>
      <right style="dotted">
        <color auto="1"/>
      </right>
      <top style="dotted">
        <color auto="1"/>
      </top>
      <bottom/>
      <diagonal/>
    </border>
    <border>
      <left style="thick">
        <color rgb="FF0F9A52"/>
      </left>
      <right style="thick">
        <color rgb="FF0F9A52"/>
      </right>
      <top/>
      <bottom style="thick">
        <color rgb="FF0F9A52"/>
      </bottom>
      <diagonal/>
    </border>
    <border>
      <left style="thick">
        <color rgb="FF0F9A52"/>
      </left>
      <right style="dotted">
        <color auto="1"/>
      </right>
      <top style="dotted">
        <color auto="1"/>
      </top>
      <bottom style="thick">
        <color rgb="FF0F9A52"/>
      </bottom>
      <diagonal/>
    </border>
    <border>
      <left style="dotted">
        <color auto="1"/>
      </left>
      <right style="dotted">
        <color auto="1"/>
      </right>
      <top style="dotted">
        <color auto="1"/>
      </top>
      <bottom style="thick">
        <color rgb="FF0F9A52"/>
      </bottom>
      <diagonal/>
    </border>
    <border>
      <left style="dotted">
        <color auto="1"/>
      </left>
      <right style="thick">
        <color rgb="FF0F9A52"/>
      </right>
      <top style="dotted">
        <color auto="1"/>
      </top>
      <bottom style="thick">
        <color rgb="FF0F9A52"/>
      </bottom>
      <diagonal/>
    </border>
    <border>
      <left style="dotted">
        <color auto="1"/>
      </left>
      <right style="dotted">
        <color auto="1"/>
      </right>
      <top style="thick">
        <color rgb="FF0078AE"/>
      </top>
      <bottom style="dotted">
        <color auto="1"/>
      </bottom>
      <diagonal/>
    </border>
    <border>
      <left/>
      <right style="dotted">
        <color auto="1"/>
      </right>
      <top style="dotted">
        <color auto="1"/>
      </top>
      <bottom style="dotted">
        <color auto="1"/>
      </bottom>
      <diagonal/>
    </border>
    <border>
      <left/>
      <right style="dotted">
        <color auto="1"/>
      </right>
      <top style="thick">
        <color rgb="FF0078AE"/>
      </top>
      <bottom style="dotted">
        <color auto="1"/>
      </bottom>
      <diagonal/>
    </border>
    <border>
      <left style="thick">
        <color theme="4"/>
      </left>
      <right style="thick">
        <color theme="4"/>
      </right>
      <top style="thick">
        <color rgb="FF0078AE"/>
      </top>
      <bottom/>
      <diagonal/>
    </border>
    <border>
      <left style="thick">
        <color theme="4"/>
      </left>
      <right style="thick">
        <color theme="4"/>
      </right>
      <top/>
      <bottom/>
      <diagonal/>
    </border>
    <border>
      <left style="thick">
        <color theme="4"/>
      </left>
      <right style="thick">
        <color theme="4"/>
      </right>
      <top/>
      <bottom style="thick">
        <color theme="4"/>
      </bottom>
      <diagonal/>
    </border>
    <border>
      <left style="dotted">
        <color auto="1"/>
      </left>
      <right style="thick">
        <color theme="4"/>
      </right>
      <top style="thick">
        <color rgb="FF0078AE"/>
      </top>
      <bottom style="dotted">
        <color auto="1"/>
      </bottom>
      <diagonal/>
    </border>
    <border>
      <left style="dotted">
        <color auto="1"/>
      </left>
      <right style="thick">
        <color theme="4"/>
      </right>
      <top style="dotted">
        <color auto="1"/>
      </top>
      <bottom style="dotted">
        <color auto="1"/>
      </bottom>
      <diagonal/>
    </border>
    <border>
      <left style="dotted">
        <color auto="1"/>
      </left>
      <right style="thick">
        <color theme="4"/>
      </right>
      <top style="dotted">
        <color auto="1"/>
      </top>
      <bottom style="thick">
        <color theme="4"/>
      </bottom>
      <diagonal/>
    </border>
    <border>
      <left style="thick">
        <color theme="4"/>
      </left>
      <right style="dotted">
        <color auto="1"/>
      </right>
      <top style="dotted">
        <color auto="1"/>
      </top>
      <bottom style="thick">
        <color theme="4"/>
      </bottom>
      <diagonal/>
    </border>
    <border>
      <left style="dotted">
        <color auto="1"/>
      </left>
      <right style="dotted">
        <color auto="1"/>
      </right>
      <top style="dotted">
        <color auto="1"/>
      </top>
      <bottom style="thick">
        <color theme="4"/>
      </bottom>
      <diagonal/>
    </border>
  </borders>
  <cellStyleXfs count="1">
    <xf numFmtId="0" fontId="0" fillId="0" borderId="0"/>
  </cellStyleXfs>
  <cellXfs count="77">
    <xf numFmtId="0" fontId="0" fillId="0" borderId="0" xfId="0"/>
    <xf numFmtId="2" fontId="0" fillId="0" borderId="0" xfId="0" applyNumberFormat="1"/>
    <xf numFmtId="0" fontId="1" fillId="0" borderId="0" xfId="0" applyFont="1"/>
    <xf numFmtId="2" fontId="0" fillId="0" borderId="0" xfId="0" applyNumberFormat="1" applyAlignment="1">
      <alignment horizontal="right"/>
    </xf>
    <xf numFmtId="0" fontId="2" fillId="0" borderId="14" xfId="0" applyFont="1" applyBorder="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3" fillId="3" borderId="2" xfId="0" applyFont="1" applyFill="1" applyBorder="1" applyAlignment="1">
      <alignment vertical="center"/>
    </xf>
    <xf numFmtId="0" fontId="3" fillId="3" borderId="3" xfId="0" applyFont="1" applyFill="1" applyBorder="1" applyAlignment="1">
      <alignment vertical="center" wrapText="1"/>
    </xf>
    <xf numFmtId="0" fontId="3" fillId="3" borderId="4" xfId="0" applyFont="1" applyFill="1" applyBorder="1" applyAlignment="1">
      <alignment horizontal="left" vertical="center" wrapText="1"/>
    </xf>
    <xf numFmtId="0" fontId="3" fillId="3" borderId="5" xfId="0" applyFont="1" applyFill="1" applyBorder="1" applyAlignment="1">
      <alignment vertical="center"/>
    </xf>
    <xf numFmtId="0" fontId="3" fillId="3" borderId="6" xfId="0" applyFont="1" applyFill="1" applyBorder="1" applyAlignment="1">
      <alignmen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8" xfId="0" applyFont="1" applyFill="1" applyBorder="1" applyAlignment="1">
      <alignment vertical="center"/>
    </xf>
    <xf numFmtId="0" fontId="3" fillId="3" borderId="9" xfId="0" applyFont="1" applyFill="1" applyBorder="1" applyAlignment="1">
      <alignment vertical="center" wrapText="1"/>
    </xf>
    <xf numFmtId="0" fontId="3" fillId="3" borderId="11" xfId="0" applyFont="1" applyFill="1" applyBorder="1" applyAlignment="1">
      <alignment vertical="center"/>
    </xf>
    <xf numFmtId="0" fontId="3" fillId="3" borderId="12" xfId="0" applyFont="1" applyFill="1" applyBorder="1" applyAlignment="1">
      <alignment vertical="center" wrapText="1"/>
    </xf>
    <xf numFmtId="0" fontId="3" fillId="3" borderId="13" xfId="0" applyFont="1" applyFill="1" applyBorder="1" applyAlignment="1">
      <alignment horizontal="left" vertical="center" wrapText="1"/>
    </xf>
    <xf numFmtId="0" fontId="3" fillId="5" borderId="16" xfId="0" applyFont="1" applyFill="1" applyBorder="1" applyAlignment="1">
      <alignment vertical="center"/>
    </xf>
    <xf numFmtId="0" fontId="3" fillId="5" borderId="17" xfId="0" applyFont="1" applyFill="1" applyBorder="1" applyAlignment="1">
      <alignment vertical="center" wrapText="1"/>
    </xf>
    <xf numFmtId="0" fontId="3" fillId="5" borderId="18" xfId="0" applyFont="1" applyFill="1" applyBorder="1" applyAlignment="1">
      <alignment horizontal="left" vertical="center" wrapText="1"/>
    </xf>
    <xf numFmtId="0" fontId="3" fillId="5" borderId="20" xfId="0" applyFont="1" applyFill="1" applyBorder="1" applyAlignment="1">
      <alignment vertical="center"/>
    </xf>
    <xf numFmtId="0" fontId="3" fillId="5" borderId="6" xfId="0" applyFont="1" applyFill="1" applyBorder="1" applyAlignment="1">
      <alignment vertical="center" wrapText="1"/>
    </xf>
    <xf numFmtId="0" fontId="3" fillId="5" borderId="21" xfId="0" applyFont="1" applyFill="1" applyBorder="1" applyAlignment="1">
      <alignment horizontal="left" vertical="center" wrapText="1"/>
    </xf>
    <xf numFmtId="0" fontId="3" fillId="5" borderId="6" xfId="0" applyFont="1" applyFill="1" applyBorder="1" applyAlignment="1">
      <alignment horizontal="left" vertical="center" wrapText="1"/>
    </xf>
    <xf numFmtId="0" fontId="3" fillId="5" borderId="22" xfId="0" applyFont="1" applyFill="1" applyBorder="1" applyAlignment="1">
      <alignment vertical="center"/>
    </xf>
    <xf numFmtId="0" fontId="3" fillId="5" borderId="9" xfId="0" applyFont="1" applyFill="1" applyBorder="1" applyAlignment="1">
      <alignment vertical="center" wrapText="1"/>
    </xf>
    <xf numFmtId="0" fontId="3" fillId="5" borderId="24" xfId="0" applyFont="1" applyFill="1" applyBorder="1" applyAlignment="1">
      <alignment vertical="center"/>
    </xf>
    <xf numFmtId="0" fontId="3" fillId="5" borderId="25" xfId="0" applyFont="1" applyFill="1" applyBorder="1" applyAlignment="1">
      <alignment vertical="center" wrapText="1"/>
    </xf>
    <xf numFmtId="0" fontId="3" fillId="5" borderId="26" xfId="0" applyFont="1" applyFill="1" applyBorder="1" applyAlignment="1">
      <alignment horizontal="left" vertical="center" wrapText="1"/>
    </xf>
    <xf numFmtId="0" fontId="3" fillId="7" borderId="27" xfId="0" applyFont="1" applyFill="1" applyBorder="1" applyAlignment="1">
      <alignment vertical="center" wrapText="1"/>
    </xf>
    <xf numFmtId="0" fontId="3" fillId="7" borderId="6" xfId="0" applyFont="1" applyFill="1" applyBorder="1" applyAlignment="1">
      <alignment vertical="center" wrapText="1"/>
    </xf>
    <xf numFmtId="0" fontId="3" fillId="7" borderId="6" xfId="0" applyFont="1" applyFill="1" applyBorder="1" applyAlignment="1">
      <alignment horizontal="left" vertical="center" wrapText="1"/>
    </xf>
    <xf numFmtId="0" fontId="3" fillId="7" borderId="29" xfId="0" applyFont="1" applyFill="1" applyBorder="1" applyAlignment="1">
      <alignment vertical="center"/>
    </xf>
    <xf numFmtId="0" fontId="3" fillId="7" borderId="28" xfId="0" applyFont="1" applyFill="1" applyBorder="1" applyAlignment="1">
      <alignment vertical="center"/>
    </xf>
    <xf numFmtId="0" fontId="3" fillId="7" borderId="33" xfId="0" applyFont="1" applyFill="1" applyBorder="1" applyAlignment="1">
      <alignment horizontal="left" vertical="center" wrapText="1"/>
    </xf>
    <xf numFmtId="0" fontId="3" fillId="7" borderId="34" xfId="0" applyFont="1" applyFill="1" applyBorder="1" applyAlignment="1">
      <alignment horizontal="left" vertical="center" wrapText="1"/>
    </xf>
    <xf numFmtId="0" fontId="3" fillId="7" borderId="35" xfId="0" applyFont="1" applyFill="1" applyBorder="1" applyAlignment="1">
      <alignment horizontal="left" vertical="center" wrapText="1"/>
    </xf>
    <xf numFmtId="0" fontId="3" fillId="7" borderId="36" xfId="0" applyFont="1" applyFill="1" applyBorder="1" applyAlignment="1">
      <alignment vertical="center"/>
    </xf>
    <xf numFmtId="0" fontId="3" fillId="7" borderId="37" xfId="0" applyFont="1" applyFill="1" applyBorder="1" applyAlignment="1">
      <alignment vertical="center" wrapText="1"/>
    </xf>
    <xf numFmtId="0" fontId="5" fillId="0" borderId="0" xfId="0" applyFont="1"/>
    <xf numFmtId="0" fontId="6" fillId="0" borderId="0" xfId="0" applyFont="1"/>
    <xf numFmtId="2" fontId="5" fillId="0" borderId="0" xfId="0" applyNumberFormat="1" applyFont="1"/>
    <xf numFmtId="0" fontId="7" fillId="0" borderId="0" xfId="0" applyFont="1"/>
    <xf numFmtId="0" fontId="8" fillId="0" borderId="0" xfId="0" applyFont="1"/>
    <xf numFmtId="164" fontId="0" fillId="0" borderId="0" xfId="0" applyNumberFormat="1"/>
    <xf numFmtId="164" fontId="5" fillId="0" borderId="0" xfId="0" applyNumberFormat="1" applyFont="1"/>
    <xf numFmtId="164" fontId="5" fillId="8" borderId="0" xfId="0" applyNumberFormat="1" applyFont="1" applyFill="1"/>
    <xf numFmtId="164" fontId="0" fillId="8" borderId="0" xfId="0" applyNumberFormat="1" applyFill="1"/>
    <xf numFmtId="2" fontId="11" fillId="8" borderId="0" xfId="0" applyNumberFormat="1" applyFont="1" applyFill="1"/>
    <xf numFmtId="0" fontId="11" fillId="8" borderId="0" xfId="0" applyFont="1" applyFill="1"/>
    <xf numFmtId="0" fontId="0" fillId="8" borderId="0" xfId="0" applyFill="1"/>
    <xf numFmtId="0" fontId="0" fillId="9" borderId="0" xfId="0" applyFill="1"/>
    <xf numFmtId="0" fontId="11" fillId="9" borderId="0" xfId="0" applyFont="1" applyFill="1"/>
    <xf numFmtId="0" fontId="5" fillId="9" borderId="0" xfId="0" applyFont="1" applyFill="1"/>
    <xf numFmtId="2" fontId="11" fillId="9" borderId="0" xfId="0" applyNumberFormat="1" applyFont="1" applyFill="1"/>
    <xf numFmtId="2" fontId="5" fillId="9" borderId="0" xfId="0" applyNumberFormat="1" applyFont="1" applyFill="1"/>
    <xf numFmtId="164" fontId="1" fillId="9" borderId="0" xfId="0" applyNumberFormat="1" applyFont="1" applyFill="1"/>
    <xf numFmtId="0" fontId="1" fillId="9" borderId="0" xfId="0" applyFont="1" applyFill="1"/>
    <xf numFmtId="0" fontId="11" fillId="0" borderId="0" xfId="0" applyFont="1"/>
    <xf numFmtId="0" fontId="13" fillId="8" borderId="0" xfId="0" applyFont="1" applyFill="1"/>
    <xf numFmtId="164" fontId="1" fillId="8" borderId="0" xfId="0" applyNumberFormat="1" applyFont="1" applyFill="1"/>
    <xf numFmtId="2" fontId="5" fillId="8" borderId="0" xfId="0" applyNumberFormat="1" applyFont="1" applyFill="1"/>
    <xf numFmtId="0" fontId="12" fillId="8" borderId="0" xfId="0" applyFont="1" applyFill="1"/>
    <xf numFmtId="0" fontId="1" fillId="8" borderId="0" xfId="0" applyFont="1" applyFill="1"/>
    <xf numFmtId="0" fontId="4" fillId="4" borderId="15" xfId="0" applyFont="1" applyFill="1" applyBorder="1" applyAlignment="1">
      <alignment horizontal="center" vertical="center" textRotation="90"/>
    </xf>
    <xf numFmtId="0" fontId="4" fillId="4" borderId="19" xfId="0" applyFont="1" applyFill="1" applyBorder="1" applyAlignment="1">
      <alignment horizontal="center" vertical="center" textRotation="90"/>
    </xf>
    <xf numFmtId="0" fontId="4" fillId="4" borderId="23" xfId="0" applyFont="1" applyFill="1" applyBorder="1" applyAlignment="1">
      <alignment horizontal="center" vertical="center" textRotation="90"/>
    </xf>
    <xf numFmtId="0" fontId="4" fillId="6" borderId="30" xfId="0" applyFont="1" applyFill="1" applyBorder="1" applyAlignment="1">
      <alignment horizontal="center" vertical="center" textRotation="90"/>
    </xf>
    <xf numFmtId="0" fontId="4" fillId="6" borderId="31" xfId="0" applyFont="1" applyFill="1" applyBorder="1" applyAlignment="1">
      <alignment horizontal="center" vertical="center" textRotation="90"/>
    </xf>
    <xf numFmtId="0" fontId="4" fillId="6" borderId="32" xfId="0" applyFont="1" applyFill="1" applyBorder="1" applyAlignment="1">
      <alignment horizontal="center" vertical="center" textRotation="90"/>
    </xf>
    <xf numFmtId="0" fontId="4" fillId="2" borderId="1" xfId="0" applyFont="1" applyFill="1" applyBorder="1" applyAlignment="1">
      <alignment horizontal="center" vertical="center" textRotation="90"/>
    </xf>
    <xf numFmtId="0" fontId="4" fillId="2" borderId="10" xfId="0" applyFont="1" applyFill="1" applyBorder="1" applyAlignment="1">
      <alignment horizontal="center" vertical="center" textRotation="90"/>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C1AA8-362C-42E2-BC0A-1ED9A4B62177}">
  <dimension ref="A1:E41"/>
  <sheetViews>
    <sheetView tabSelected="1" topLeftCell="B29" zoomScale="94" zoomScaleNormal="100" workbookViewId="0">
      <selection activeCell="D9" sqref="D9"/>
    </sheetView>
  </sheetViews>
  <sheetFormatPr baseColWidth="10" defaultColWidth="8.83203125" defaultRowHeight="15"/>
  <cols>
    <col min="1" max="1" width="19.6640625" customWidth="1"/>
    <col min="2" max="2" width="6.1640625" customWidth="1"/>
    <col min="3" max="3" width="40.33203125" style="8" customWidth="1"/>
    <col min="4" max="4" width="90.1640625" style="9" customWidth="1"/>
    <col min="5" max="5" width="53.33203125" customWidth="1"/>
  </cols>
  <sheetData>
    <row r="1" spans="1:5" ht="23" thickBot="1">
      <c r="A1" s="4" t="s">
        <v>108</v>
      </c>
      <c r="B1" s="5" t="s">
        <v>109</v>
      </c>
      <c r="C1" s="6" t="s">
        <v>110</v>
      </c>
      <c r="D1" s="6" t="s">
        <v>111</v>
      </c>
      <c r="E1" s="7" t="s">
        <v>112</v>
      </c>
    </row>
    <row r="2" spans="1:5" ht="130.5" customHeight="1">
      <c r="A2" s="75" t="s">
        <v>31</v>
      </c>
      <c r="B2" s="10">
        <v>1</v>
      </c>
      <c r="C2" s="11" t="s">
        <v>32</v>
      </c>
      <c r="D2" s="11" t="s">
        <v>94</v>
      </c>
      <c r="E2" s="12" t="s">
        <v>30</v>
      </c>
    </row>
    <row r="3" spans="1:5" ht="38">
      <c r="A3" s="75"/>
      <c r="B3" s="13">
        <v>2</v>
      </c>
      <c r="C3" s="14" t="s">
        <v>33</v>
      </c>
      <c r="D3" s="14" t="s">
        <v>95</v>
      </c>
      <c r="E3" s="15" t="s">
        <v>34</v>
      </c>
    </row>
    <row r="4" spans="1:5" ht="38">
      <c r="A4" s="75"/>
      <c r="B4" s="13">
        <v>3</v>
      </c>
      <c r="C4" s="14" t="s">
        <v>35</v>
      </c>
      <c r="D4" s="14" t="s">
        <v>96</v>
      </c>
      <c r="E4" s="15" t="s">
        <v>36</v>
      </c>
    </row>
    <row r="5" spans="1:5" ht="38">
      <c r="A5" s="75"/>
      <c r="B5" s="13">
        <v>4</v>
      </c>
      <c r="C5" s="14" t="s">
        <v>37</v>
      </c>
      <c r="D5" s="14" t="s">
        <v>97</v>
      </c>
      <c r="E5" s="15" t="s">
        <v>36</v>
      </c>
    </row>
    <row r="6" spans="1:5" ht="76">
      <c r="A6" s="75"/>
      <c r="B6" s="13">
        <v>5</v>
      </c>
      <c r="C6" s="16" t="s">
        <v>38</v>
      </c>
      <c r="D6" s="14" t="s">
        <v>98</v>
      </c>
      <c r="E6" s="15" t="s">
        <v>39</v>
      </c>
    </row>
    <row r="7" spans="1:5" ht="38">
      <c r="A7" s="75"/>
      <c r="B7" s="13">
        <v>6</v>
      </c>
      <c r="C7" s="16" t="s">
        <v>40</v>
      </c>
      <c r="D7" s="14" t="s">
        <v>99</v>
      </c>
      <c r="E7" s="15" t="s">
        <v>36</v>
      </c>
    </row>
    <row r="8" spans="1:5" ht="38">
      <c r="A8" s="75"/>
      <c r="B8" s="13">
        <v>7</v>
      </c>
      <c r="C8" s="14" t="s">
        <v>41</v>
      </c>
      <c r="D8" s="14" t="s">
        <v>100</v>
      </c>
      <c r="E8" s="15" t="s">
        <v>36</v>
      </c>
    </row>
    <row r="9" spans="1:5" ht="19">
      <c r="A9" s="75"/>
      <c r="B9" s="13">
        <v>8</v>
      </c>
      <c r="C9" s="14" t="s">
        <v>42</v>
      </c>
      <c r="D9" s="14" t="s">
        <v>242</v>
      </c>
      <c r="E9" s="15" t="s">
        <v>36</v>
      </c>
    </row>
    <row r="10" spans="1:5" ht="57">
      <c r="A10" s="75"/>
      <c r="B10" s="13">
        <v>9</v>
      </c>
      <c r="C10" s="14" t="s">
        <v>43</v>
      </c>
      <c r="D10" s="14" t="s">
        <v>101</v>
      </c>
      <c r="E10" s="15" t="s">
        <v>44</v>
      </c>
    </row>
    <row r="11" spans="1:5" ht="57">
      <c r="A11" s="75"/>
      <c r="B11" s="13">
        <v>10</v>
      </c>
      <c r="C11" s="14" t="s">
        <v>45</v>
      </c>
      <c r="D11" s="14" t="s">
        <v>102</v>
      </c>
      <c r="E11" s="15" t="s">
        <v>44</v>
      </c>
    </row>
    <row r="12" spans="1:5" ht="95">
      <c r="A12" s="75"/>
      <c r="B12" s="13">
        <v>11</v>
      </c>
      <c r="C12" s="14" t="s">
        <v>46</v>
      </c>
      <c r="D12" s="14" t="s">
        <v>103</v>
      </c>
      <c r="E12" s="15" t="s">
        <v>30</v>
      </c>
    </row>
    <row r="13" spans="1:5" ht="133">
      <c r="A13" s="75"/>
      <c r="B13" s="13">
        <v>12</v>
      </c>
      <c r="C13" s="14" t="s">
        <v>47</v>
      </c>
      <c r="D13" s="14" t="s">
        <v>104</v>
      </c>
      <c r="E13" s="15" t="s">
        <v>48</v>
      </c>
    </row>
    <row r="14" spans="1:5" ht="76">
      <c r="A14" s="75"/>
      <c r="B14" s="17">
        <v>13</v>
      </c>
      <c r="C14" s="14" t="s">
        <v>49</v>
      </c>
      <c r="D14" s="14" t="s">
        <v>105</v>
      </c>
      <c r="E14" s="15" t="s">
        <v>30</v>
      </c>
    </row>
    <row r="15" spans="1:5" ht="57">
      <c r="A15" s="75"/>
      <c r="B15" s="17">
        <v>14</v>
      </c>
      <c r="C15" s="18" t="s">
        <v>50</v>
      </c>
      <c r="D15" s="14" t="s">
        <v>106</v>
      </c>
      <c r="E15" s="15" t="s">
        <v>30</v>
      </c>
    </row>
    <row r="16" spans="1:5" ht="39" thickBot="1">
      <c r="A16" s="76"/>
      <c r="B16" s="19">
        <v>15</v>
      </c>
      <c r="C16" s="20" t="s">
        <v>51</v>
      </c>
      <c r="D16" s="14" t="s">
        <v>107</v>
      </c>
      <c r="E16" s="21" t="s">
        <v>30</v>
      </c>
    </row>
    <row r="17" spans="1:5" ht="20" thickTop="1">
      <c r="A17" s="69" t="s">
        <v>113</v>
      </c>
      <c r="B17" s="22">
        <v>1</v>
      </c>
      <c r="C17" s="23" t="s">
        <v>52</v>
      </c>
      <c r="D17" s="23" t="s">
        <v>114</v>
      </c>
      <c r="E17" s="24" t="s">
        <v>36</v>
      </c>
    </row>
    <row r="18" spans="1:5" ht="57">
      <c r="A18" s="70"/>
      <c r="B18" s="25">
        <v>2</v>
      </c>
      <c r="C18" s="26" t="s">
        <v>53</v>
      </c>
      <c r="D18" s="26" t="s">
        <v>115</v>
      </c>
      <c r="E18" s="27" t="s">
        <v>36</v>
      </c>
    </row>
    <row r="19" spans="1:5" ht="57">
      <c r="A19" s="70"/>
      <c r="B19" s="25">
        <v>3</v>
      </c>
      <c r="C19" s="28" t="s">
        <v>54</v>
      </c>
      <c r="D19" s="26" t="s">
        <v>116</v>
      </c>
      <c r="E19" s="27" t="s">
        <v>36</v>
      </c>
    </row>
    <row r="20" spans="1:5" ht="38">
      <c r="A20" s="70"/>
      <c r="B20" s="25">
        <v>4</v>
      </c>
      <c r="C20" s="28" t="s">
        <v>55</v>
      </c>
      <c r="D20" s="26" t="s">
        <v>117</v>
      </c>
      <c r="E20" s="27" t="s">
        <v>36</v>
      </c>
    </row>
    <row r="21" spans="1:5" ht="38">
      <c r="A21" s="70"/>
      <c r="B21" s="25">
        <v>5</v>
      </c>
      <c r="C21" s="26" t="s">
        <v>56</v>
      </c>
      <c r="D21" s="26" t="s">
        <v>118</v>
      </c>
      <c r="E21" s="27" t="s">
        <v>36</v>
      </c>
    </row>
    <row r="22" spans="1:5" ht="38">
      <c r="A22" s="70"/>
      <c r="B22" s="25">
        <v>6</v>
      </c>
      <c r="C22" s="26" t="s">
        <v>57</v>
      </c>
      <c r="D22" s="26" t="s">
        <v>119</v>
      </c>
      <c r="E22" s="27" t="s">
        <v>36</v>
      </c>
    </row>
    <row r="23" spans="1:5" ht="38">
      <c r="A23" s="70"/>
      <c r="B23" s="25">
        <v>7</v>
      </c>
      <c r="C23" s="28" t="s">
        <v>58</v>
      </c>
      <c r="D23" s="26" t="s">
        <v>120</v>
      </c>
      <c r="E23" s="27" t="s">
        <v>59</v>
      </c>
    </row>
    <row r="24" spans="1:5" ht="38">
      <c r="A24" s="70"/>
      <c r="B24" s="25">
        <v>8</v>
      </c>
      <c r="C24" s="26" t="s">
        <v>60</v>
      </c>
      <c r="D24" s="26" t="s">
        <v>121</v>
      </c>
      <c r="E24" s="27" t="s">
        <v>61</v>
      </c>
    </row>
    <row r="25" spans="1:5" ht="57">
      <c r="A25" s="70"/>
      <c r="B25" s="25">
        <v>9</v>
      </c>
      <c r="C25" s="28" t="s">
        <v>62</v>
      </c>
      <c r="D25" s="28" t="s">
        <v>122</v>
      </c>
      <c r="E25" s="27" t="s">
        <v>36</v>
      </c>
    </row>
    <row r="26" spans="1:5" ht="57">
      <c r="A26" s="70"/>
      <c r="B26" s="25">
        <v>10</v>
      </c>
      <c r="C26" s="28" t="s">
        <v>63</v>
      </c>
      <c r="D26" s="28" t="s">
        <v>123</v>
      </c>
      <c r="E26" s="27" t="s">
        <v>64</v>
      </c>
    </row>
    <row r="27" spans="1:5" ht="95">
      <c r="A27" s="70"/>
      <c r="B27" s="25">
        <v>11</v>
      </c>
      <c r="C27" s="26" t="s">
        <v>65</v>
      </c>
      <c r="D27" s="26" t="s">
        <v>124</v>
      </c>
      <c r="E27" s="27" t="s">
        <v>66</v>
      </c>
    </row>
    <row r="28" spans="1:5" ht="57">
      <c r="A28" s="70"/>
      <c r="B28" s="25">
        <v>12</v>
      </c>
      <c r="C28" s="26" t="s">
        <v>67</v>
      </c>
      <c r="D28" s="26" t="s">
        <v>125</v>
      </c>
      <c r="E28" s="27" t="s">
        <v>36</v>
      </c>
    </row>
    <row r="29" spans="1:5" ht="38">
      <c r="A29" s="70"/>
      <c r="B29" s="25">
        <v>13</v>
      </c>
      <c r="C29" s="26" t="s">
        <v>68</v>
      </c>
      <c r="D29" s="26" t="s">
        <v>126</v>
      </c>
      <c r="E29" s="27" t="s">
        <v>36</v>
      </c>
    </row>
    <row r="30" spans="1:5" ht="38">
      <c r="A30" s="70"/>
      <c r="B30" s="29">
        <v>14</v>
      </c>
      <c r="C30" s="30" t="s">
        <v>69</v>
      </c>
      <c r="D30" s="30" t="s">
        <v>127</v>
      </c>
      <c r="E30" s="27" t="s">
        <v>36</v>
      </c>
    </row>
    <row r="31" spans="1:5" ht="39" thickBot="1">
      <c r="A31" s="71"/>
      <c r="B31" s="31">
        <v>15</v>
      </c>
      <c r="C31" s="32" t="s">
        <v>70</v>
      </c>
      <c r="D31" s="32" t="s">
        <v>128</v>
      </c>
      <c r="E31" s="33" t="s">
        <v>36</v>
      </c>
    </row>
    <row r="32" spans="1:5" ht="39" thickTop="1">
      <c r="A32" s="72" t="s">
        <v>71</v>
      </c>
      <c r="B32" s="37">
        <v>1</v>
      </c>
      <c r="C32" s="34" t="s">
        <v>72</v>
      </c>
      <c r="D32" s="34" t="s">
        <v>129</v>
      </c>
      <c r="E32" s="39" t="s">
        <v>30</v>
      </c>
    </row>
    <row r="33" spans="1:5" ht="38">
      <c r="A33" s="73">
        <v>5</v>
      </c>
      <c r="B33" s="38">
        <v>2</v>
      </c>
      <c r="C33" s="35" t="s">
        <v>73</v>
      </c>
      <c r="D33" s="35" t="s">
        <v>130</v>
      </c>
      <c r="E33" s="40" t="s">
        <v>30</v>
      </c>
    </row>
    <row r="34" spans="1:5" ht="38">
      <c r="A34" s="73">
        <v>5</v>
      </c>
      <c r="B34" s="38">
        <v>3</v>
      </c>
      <c r="C34" s="35" t="s">
        <v>74</v>
      </c>
      <c r="D34" s="35" t="s">
        <v>131</v>
      </c>
      <c r="E34" s="40" t="s">
        <v>30</v>
      </c>
    </row>
    <row r="35" spans="1:5" ht="152">
      <c r="A35" s="73">
        <v>5</v>
      </c>
      <c r="B35" s="38">
        <v>4</v>
      </c>
      <c r="C35" s="35" t="s">
        <v>75</v>
      </c>
      <c r="D35" s="35" t="s">
        <v>132</v>
      </c>
      <c r="E35" s="40" t="s">
        <v>30</v>
      </c>
    </row>
    <row r="36" spans="1:5" ht="133">
      <c r="A36" s="73">
        <v>5</v>
      </c>
      <c r="B36" s="38">
        <v>5</v>
      </c>
      <c r="C36" s="36" t="s">
        <v>76</v>
      </c>
      <c r="D36" s="35" t="s">
        <v>133</v>
      </c>
      <c r="E36" s="40" t="s">
        <v>30</v>
      </c>
    </row>
    <row r="37" spans="1:5" ht="38">
      <c r="A37" s="73">
        <v>5</v>
      </c>
      <c r="B37" s="38">
        <v>6</v>
      </c>
      <c r="C37" s="36" t="s">
        <v>77</v>
      </c>
      <c r="D37" s="35" t="s">
        <v>134</v>
      </c>
      <c r="E37" s="40" t="s">
        <v>30</v>
      </c>
    </row>
    <row r="38" spans="1:5" ht="38">
      <c r="A38" s="73">
        <v>5</v>
      </c>
      <c r="B38" s="38">
        <v>7</v>
      </c>
      <c r="C38" s="35" t="s">
        <v>78</v>
      </c>
      <c r="D38" s="35" t="s">
        <v>135</v>
      </c>
      <c r="E38" s="40" t="s">
        <v>30</v>
      </c>
    </row>
    <row r="39" spans="1:5" ht="38">
      <c r="A39" s="73">
        <v>5</v>
      </c>
      <c r="B39" s="38">
        <v>8</v>
      </c>
      <c r="C39" s="35" t="s">
        <v>79</v>
      </c>
      <c r="D39" s="35" t="s">
        <v>136</v>
      </c>
      <c r="E39" s="40" t="s">
        <v>30</v>
      </c>
    </row>
    <row r="40" spans="1:5" ht="39" thickBot="1">
      <c r="A40" s="74">
        <v>5</v>
      </c>
      <c r="B40" s="42">
        <v>9</v>
      </c>
      <c r="C40" s="43" t="s">
        <v>80</v>
      </c>
      <c r="D40" s="43" t="s">
        <v>137</v>
      </c>
      <c r="E40" s="41" t="s">
        <v>81</v>
      </c>
    </row>
    <row r="41" spans="1:5" ht="16" thickTop="1"/>
  </sheetData>
  <mergeCells count="3">
    <mergeCell ref="A17:A31"/>
    <mergeCell ref="A32:A40"/>
    <mergeCell ref="A2:A16"/>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21F4-C659-4000-B182-222C0E946979}">
  <dimension ref="A1:P31"/>
  <sheetViews>
    <sheetView workbookViewId="0"/>
  </sheetViews>
  <sheetFormatPr baseColWidth="10" defaultColWidth="8.83203125" defaultRowHeight="15"/>
  <cols>
    <col min="1" max="1" width="37.5" bestFit="1" customWidth="1"/>
    <col min="2" max="2" width="33.83203125" bestFit="1" customWidth="1"/>
    <col min="3" max="3" width="41.83203125" bestFit="1" customWidth="1"/>
    <col min="4" max="4" width="47.1640625" bestFit="1" customWidth="1"/>
    <col min="5" max="5" width="44.6640625" bestFit="1" customWidth="1"/>
    <col min="6" max="6" width="27.1640625" bestFit="1" customWidth="1"/>
    <col min="7" max="7" width="21.5" bestFit="1" customWidth="1"/>
    <col min="8" max="8" width="47.83203125" bestFit="1" customWidth="1"/>
    <col min="9" max="9" width="21.6640625" bestFit="1" customWidth="1"/>
    <col min="10" max="10" width="106.83203125" bestFit="1" customWidth="1"/>
    <col min="11" max="11" width="90.5" bestFit="1" customWidth="1"/>
    <col min="12" max="12" width="31" bestFit="1" customWidth="1"/>
    <col min="13" max="13" width="32.6640625" bestFit="1" customWidth="1"/>
    <col min="14" max="14" width="41.83203125" bestFit="1" customWidth="1"/>
    <col min="15" max="15" width="21.5" bestFit="1" customWidth="1"/>
    <col min="16" max="16" width="30.5" bestFit="1" customWidth="1"/>
  </cols>
  <sheetData>
    <row r="1" spans="1:16" s="2" customFormat="1">
      <c r="A1" s="2" t="s">
        <v>84</v>
      </c>
      <c r="B1" s="2" t="s">
        <v>52</v>
      </c>
      <c r="C1" s="2" t="s">
        <v>53</v>
      </c>
      <c r="D1" s="2" t="s">
        <v>54</v>
      </c>
      <c r="E1" s="2" t="s">
        <v>55</v>
      </c>
      <c r="F1" s="2" t="s">
        <v>56</v>
      </c>
      <c r="G1" s="2" t="s">
        <v>89</v>
      </c>
      <c r="H1" s="2" t="s">
        <v>90</v>
      </c>
      <c r="I1" s="2" t="s">
        <v>60</v>
      </c>
      <c r="J1" s="2" t="s">
        <v>91</v>
      </c>
      <c r="K1" s="2" t="s">
        <v>92</v>
      </c>
      <c r="L1" s="2" t="s">
        <v>65</v>
      </c>
      <c r="M1" s="2" t="s">
        <v>67</v>
      </c>
      <c r="N1" s="2" t="s">
        <v>68</v>
      </c>
      <c r="O1" s="2" t="s">
        <v>69</v>
      </c>
      <c r="P1" s="2" t="s">
        <v>70</v>
      </c>
    </row>
    <row r="2" spans="1:16">
      <c r="A2" t="s">
        <v>0</v>
      </c>
      <c r="B2" s="1">
        <v>72.2</v>
      </c>
      <c r="C2" s="1">
        <v>9.5</v>
      </c>
      <c r="D2" s="1">
        <v>26.3</v>
      </c>
      <c r="E2" s="1">
        <v>12.4</v>
      </c>
      <c r="F2" s="3" t="s">
        <v>86</v>
      </c>
      <c r="G2" s="1">
        <v>21.7</v>
      </c>
      <c r="H2" s="3" t="s">
        <v>86</v>
      </c>
      <c r="I2" s="3" t="s">
        <v>86</v>
      </c>
      <c r="J2" s="1">
        <v>82.8</v>
      </c>
      <c r="K2" s="3" t="s">
        <v>86</v>
      </c>
      <c r="L2" s="3" t="s">
        <v>86</v>
      </c>
      <c r="M2" s="1">
        <v>57.1</v>
      </c>
      <c r="N2" s="1">
        <v>3.8</v>
      </c>
      <c r="O2" s="1">
        <v>8.3000000000000007</v>
      </c>
      <c r="P2" s="1">
        <v>12.6</v>
      </c>
    </row>
    <row r="3" spans="1:16">
      <c r="A3" t="s">
        <v>87</v>
      </c>
      <c r="B3" s="1">
        <v>77.3</v>
      </c>
      <c r="C3" s="1">
        <v>6.7</v>
      </c>
      <c r="D3" s="1">
        <v>22.1</v>
      </c>
      <c r="E3" s="1">
        <v>21.5</v>
      </c>
      <c r="F3" s="3" t="s">
        <v>86</v>
      </c>
      <c r="G3" s="1">
        <v>27.5</v>
      </c>
      <c r="H3" s="3" t="s">
        <v>86</v>
      </c>
      <c r="I3" s="3" t="s">
        <v>86</v>
      </c>
      <c r="J3" s="1">
        <v>87.2</v>
      </c>
      <c r="K3" s="3" t="s">
        <v>86</v>
      </c>
      <c r="L3" s="3" t="s">
        <v>86</v>
      </c>
      <c r="M3" s="1">
        <v>61.7</v>
      </c>
      <c r="N3" s="1">
        <v>3.8</v>
      </c>
      <c r="O3" s="1">
        <v>7.2</v>
      </c>
      <c r="P3" s="1">
        <v>6.5</v>
      </c>
    </row>
    <row r="4" spans="1:16">
      <c r="A4" t="s">
        <v>2</v>
      </c>
      <c r="B4" s="1">
        <v>72.2</v>
      </c>
      <c r="C4" s="1">
        <v>10.5</v>
      </c>
      <c r="D4" s="1">
        <v>22.8</v>
      </c>
      <c r="E4" s="1">
        <v>15.5</v>
      </c>
      <c r="F4" s="3" t="s">
        <v>86</v>
      </c>
      <c r="G4" s="1">
        <v>21.4</v>
      </c>
      <c r="H4" s="3" t="s">
        <v>86</v>
      </c>
      <c r="I4" s="3" t="s">
        <v>86</v>
      </c>
      <c r="J4" s="1">
        <v>77.8</v>
      </c>
      <c r="K4" s="3" t="s">
        <v>86</v>
      </c>
      <c r="L4" s="3" t="s">
        <v>86</v>
      </c>
      <c r="M4" s="1">
        <v>47.5</v>
      </c>
      <c r="N4" s="1">
        <v>4.4000000000000004</v>
      </c>
      <c r="O4" s="1">
        <v>9.9</v>
      </c>
      <c r="P4" s="1">
        <v>14.9</v>
      </c>
    </row>
    <row r="5" spans="1:16">
      <c r="A5" t="s">
        <v>3</v>
      </c>
      <c r="B5" s="1">
        <v>74.599999999999994</v>
      </c>
      <c r="C5" s="1">
        <v>7.4</v>
      </c>
      <c r="D5" s="1">
        <v>31.4</v>
      </c>
      <c r="E5" s="1">
        <v>10.7</v>
      </c>
      <c r="F5" s="3" t="s">
        <v>86</v>
      </c>
      <c r="G5" s="1">
        <v>20.100000000000001</v>
      </c>
      <c r="H5" s="3" t="s">
        <v>86</v>
      </c>
      <c r="I5" s="3" t="s">
        <v>86</v>
      </c>
      <c r="J5" s="1">
        <v>78</v>
      </c>
      <c r="K5" s="3" t="s">
        <v>86</v>
      </c>
      <c r="L5" s="3" t="s">
        <v>86</v>
      </c>
      <c r="M5" s="1">
        <v>53.9</v>
      </c>
      <c r="N5" s="1">
        <v>3.1</v>
      </c>
      <c r="O5" s="1">
        <v>7.6</v>
      </c>
      <c r="P5" s="1">
        <v>15.6</v>
      </c>
    </row>
    <row r="6" spans="1:16">
      <c r="A6" t="s">
        <v>88</v>
      </c>
      <c r="B6" s="1">
        <v>77.599999999999994</v>
      </c>
      <c r="C6" s="1">
        <v>5.3</v>
      </c>
      <c r="D6" s="1">
        <v>23.4</v>
      </c>
      <c r="E6" s="1">
        <v>18.2</v>
      </c>
      <c r="F6" s="3" t="s">
        <v>86</v>
      </c>
      <c r="G6" s="1">
        <v>22.7</v>
      </c>
      <c r="H6" s="3" t="s">
        <v>86</v>
      </c>
      <c r="I6" s="3" t="s">
        <v>86</v>
      </c>
      <c r="J6" s="1">
        <v>72.400000000000006</v>
      </c>
      <c r="K6" s="3" t="s">
        <v>86</v>
      </c>
      <c r="L6" s="3" t="s">
        <v>86</v>
      </c>
      <c r="M6" s="1">
        <v>60.8</v>
      </c>
      <c r="N6" s="1">
        <v>2.9</v>
      </c>
      <c r="O6" s="1">
        <v>5.4</v>
      </c>
      <c r="P6" s="1">
        <v>10.1</v>
      </c>
    </row>
    <row r="7" spans="1:16">
      <c r="A7" t="s">
        <v>5</v>
      </c>
      <c r="B7" s="1">
        <v>79.599999999999994</v>
      </c>
      <c r="C7" s="1">
        <v>3.5</v>
      </c>
      <c r="D7" s="1">
        <v>19.7</v>
      </c>
      <c r="E7" s="1">
        <v>20.5</v>
      </c>
      <c r="F7" s="3" t="s">
        <v>86</v>
      </c>
      <c r="G7" s="1">
        <v>21.2</v>
      </c>
      <c r="H7" s="3" t="s">
        <v>86</v>
      </c>
      <c r="I7" s="3" t="s">
        <v>86</v>
      </c>
      <c r="J7" s="1">
        <v>66.8</v>
      </c>
      <c r="K7" s="3" t="s">
        <v>86</v>
      </c>
      <c r="L7" s="3" t="s">
        <v>86</v>
      </c>
      <c r="M7" s="1">
        <v>60.5</v>
      </c>
      <c r="N7" s="1">
        <v>2.4</v>
      </c>
      <c r="O7" s="1">
        <v>3.8</v>
      </c>
      <c r="P7" s="1">
        <v>9.1</v>
      </c>
    </row>
    <row r="8" spans="1:16">
      <c r="A8" t="s">
        <v>6</v>
      </c>
      <c r="B8" s="1">
        <v>75.599999999999994</v>
      </c>
      <c r="C8" s="1">
        <v>7.1</v>
      </c>
      <c r="D8" s="1">
        <v>26.6</v>
      </c>
      <c r="E8" s="1">
        <v>15.9</v>
      </c>
      <c r="F8" s="3" t="s">
        <v>86</v>
      </c>
      <c r="G8" s="1">
        <v>24</v>
      </c>
      <c r="H8" s="3" t="s">
        <v>86</v>
      </c>
      <c r="I8" s="3" t="s">
        <v>86</v>
      </c>
      <c r="J8" s="1">
        <v>78.599999999999994</v>
      </c>
      <c r="K8" s="3" t="s">
        <v>86</v>
      </c>
      <c r="L8" s="3" t="s">
        <v>86</v>
      </c>
      <c r="M8" s="1">
        <v>61.1</v>
      </c>
      <c r="N8" s="1">
        <v>3.5</v>
      </c>
      <c r="O8" s="1">
        <v>7.2</v>
      </c>
      <c r="P8" s="1">
        <v>11.1</v>
      </c>
    </row>
    <row r="9" spans="1:16">
      <c r="A9" t="s">
        <v>7</v>
      </c>
      <c r="B9" s="1">
        <v>75.7</v>
      </c>
      <c r="C9" s="1">
        <v>6.6</v>
      </c>
      <c r="D9" s="1">
        <v>30.8</v>
      </c>
      <c r="E9" s="1">
        <v>13.1</v>
      </c>
      <c r="F9" s="3" t="s">
        <v>86</v>
      </c>
      <c r="G9" s="1">
        <v>25.4</v>
      </c>
      <c r="H9" s="3" t="s">
        <v>86</v>
      </c>
      <c r="I9" s="3" t="s">
        <v>86</v>
      </c>
      <c r="J9" s="1">
        <v>74.7</v>
      </c>
      <c r="K9" s="3" t="s">
        <v>86</v>
      </c>
      <c r="L9" s="3" t="s">
        <v>86</v>
      </c>
      <c r="M9" s="1">
        <v>52.3</v>
      </c>
      <c r="N9" s="1">
        <v>3.2</v>
      </c>
      <c r="O9" s="1">
        <v>6.7</v>
      </c>
      <c r="P9" s="1">
        <v>10.199999999999999</v>
      </c>
    </row>
    <row r="10" spans="1:16">
      <c r="A10" t="s">
        <v>8</v>
      </c>
      <c r="B10" s="1">
        <v>73.8</v>
      </c>
      <c r="C10" s="1">
        <v>7.7</v>
      </c>
      <c r="D10" s="1">
        <v>30.5</v>
      </c>
      <c r="E10" s="1">
        <v>14</v>
      </c>
      <c r="F10" s="3" t="s">
        <v>86</v>
      </c>
      <c r="G10" s="1">
        <v>25.2</v>
      </c>
      <c r="H10" s="3" t="s">
        <v>86</v>
      </c>
      <c r="I10" s="3" t="s">
        <v>86</v>
      </c>
      <c r="J10" s="1">
        <v>79.900000000000006</v>
      </c>
      <c r="K10" s="3" t="s">
        <v>86</v>
      </c>
      <c r="L10" s="3" t="s">
        <v>86</v>
      </c>
      <c r="M10" s="1">
        <v>53.5</v>
      </c>
      <c r="N10" s="1">
        <v>3.7</v>
      </c>
      <c r="O10" s="1">
        <v>7.5</v>
      </c>
      <c r="P10" s="1">
        <v>11.4</v>
      </c>
    </row>
    <row r="11" spans="1:16">
      <c r="A11" t="s">
        <v>9</v>
      </c>
      <c r="B11" s="1">
        <v>75.900000000000006</v>
      </c>
      <c r="C11" s="1">
        <v>8.1999999999999993</v>
      </c>
      <c r="D11" s="1">
        <v>21.9</v>
      </c>
      <c r="E11" s="1">
        <v>17.8</v>
      </c>
      <c r="F11" s="3" t="s">
        <v>86</v>
      </c>
      <c r="G11" s="1">
        <v>21.2</v>
      </c>
      <c r="H11" s="3" t="s">
        <v>86</v>
      </c>
      <c r="I11" s="3" t="s">
        <v>86</v>
      </c>
      <c r="J11" s="1">
        <v>80.900000000000006</v>
      </c>
      <c r="K11" s="3" t="s">
        <v>86</v>
      </c>
      <c r="L11" s="3" t="s">
        <v>86</v>
      </c>
      <c r="M11" s="1">
        <v>53.1</v>
      </c>
      <c r="N11" s="1">
        <v>3.8</v>
      </c>
      <c r="O11" s="1">
        <v>7</v>
      </c>
      <c r="P11" s="1">
        <v>12.6</v>
      </c>
    </row>
    <row r="12" spans="1:16">
      <c r="A12" t="s">
        <v>10</v>
      </c>
      <c r="B12" s="1">
        <v>74.5</v>
      </c>
      <c r="C12" s="1">
        <v>8.8000000000000007</v>
      </c>
      <c r="D12" s="1">
        <v>22.8</v>
      </c>
      <c r="E12" s="1">
        <v>17.600000000000001</v>
      </c>
      <c r="F12" s="3" t="s">
        <v>86</v>
      </c>
      <c r="G12" s="1">
        <v>23.3</v>
      </c>
      <c r="H12" s="3" t="s">
        <v>86</v>
      </c>
      <c r="I12" s="3" t="s">
        <v>86</v>
      </c>
      <c r="J12" s="1">
        <v>79.900000000000006</v>
      </c>
      <c r="K12" s="3" t="s">
        <v>86</v>
      </c>
      <c r="L12" s="3" t="s">
        <v>86</v>
      </c>
      <c r="M12" s="1">
        <v>54.2</v>
      </c>
      <c r="N12" s="1">
        <v>4.3</v>
      </c>
      <c r="O12" s="1">
        <v>9.9</v>
      </c>
      <c r="P12" s="1">
        <v>10.5</v>
      </c>
    </row>
    <row r="13" spans="1:16">
      <c r="A13" t="s">
        <v>11</v>
      </c>
      <c r="B13" s="1">
        <v>71.8</v>
      </c>
      <c r="C13" s="1">
        <v>10</v>
      </c>
      <c r="D13" s="1">
        <v>18.7</v>
      </c>
      <c r="E13" s="1">
        <v>17.2</v>
      </c>
      <c r="F13" s="3" t="s">
        <v>86</v>
      </c>
      <c r="G13" s="1">
        <v>24.4</v>
      </c>
      <c r="H13" s="3" t="s">
        <v>86</v>
      </c>
      <c r="I13" s="3" t="s">
        <v>86</v>
      </c>
      <c r="J13" s="1">
        <v>87</v>
      </c>
      <c r="K13" s="3" t="s">
        <v>86</v>
      </c>
      <c r="L13" s="3" t="s">
        <v>86</v>
      </c>
      <c r="M13" s="1">
        <v>58.2</v>
      </c>
      <c r="N13" s="1">
        <v>3.6</v>
      </c>
      <c r="O13" s="1">
        <v>10.4</v>
      </c>
      <c r="P13" s="1">
        <v>8.8000000000000007</v>
      </c>
    </row>
    <row r="14" spans="1:16">
      <c r="A14" t="s">
        <v>12</v>
      </c>
      <c r="B14" s="1">
        <v>72.599999999999994</v>
      </c>
      <c r="C14" s="1">
        <v>8.9</v>
      </c>
      <c r="D14" s="1">
        <v>20.8</v>
      </c>
      <c r="E14" s="1">
        <v>13.1</v>
      </c>
      <c r="F14" s="3" t="s">
        <v>86</v>
      </c>
      <c r="G14" s="1">
        <v>28.8</v>
      </c>
      <c r="H14" s="3" t="s">
        <v>86</v>
      </c>
      <c r="I14" s="3" t="s">
        <v>86</v>
      </c>
      <c r="J14" s="1">
        <v>82.5</v>
      </c>
      <c r="K14" s="3" t="s">
        <v>86</v>
      </c>
      <c r="L14" s="3" t="s">
        <v>86</v>
      </c>
      <c r="M14" s="1">
        <v>55.4</v>
      </c>
      <c r="N14" s="1">
        <v>4</v>
      </c>
      <c r="O14" s="1">
        <v>8.6</v>
      </c>
      <c r="P14" s="1">
        <v>7.6</v>
      </c>
    </row>
    <row r="15" spans="1:16">
      <c r="A15" t="s">
        <v>13</v>
      </c>
      <c r="B15" s="1">
        <v>68.099999999999994</v>
      </c>
      <c r="C15" s="1">
        <v>12.7</v>
      </c>
      <c r="D15" s="1">
        <v>20.2</v>
      </c>
      <c r="E15" s="1">
        <v>18.7</v>
      </c>
      <c r="F15" s="3" t="s">
        <v>86</v>
      </c>
      <c r="G15" s="1">
        <v>20.8</v>
      </c>
      <c r="H15" s="3" t="s">
        <v>86</v>
      </c>
      <c r="I15" s="3" t="s">
        <v>86</v>
      </c>
      <c r="J15" s="1">
        <v>75.7</v>
      </c>
      <c r="K15" s="3" t="s">
        <v>86</v>
      </c>
      <c r="L15" s="3" t="s">
        <v>86</v>
      </c>
      <c r="M15" s="1">
        <v>52.7</v>
      </c>
      <c r="N15" s="1">
        <v>3.7</v>
      </c>
      <c r="O15" s="1">
        <v>11.6</v>
      </c>
      <c r="P15" s="1">
        <v>20.9</v>
      </c>
    </row>
    <row r="16" spans="1:16">
      <c r="A16" t="s">
        <v>14</v>
      </c>
      <c r="B16" s="1">
        <v>66</v>
      </c>
      <c r="C16" s="1">
        <v>14</v>
      </c>
      <c r="D16" s="1">
        <v>16</v>
      </c>
      <c r="E16" s="1">
        <v>17.3</v>
      </c>
      <c r="F16" s="3" t="s">
        <v>86</v>
      </c>
      <c r="G16" s="1">
        <v>24.8</v>
      </c>
      <c r="H16" s="3" t="s">
        <v>86</v>
      </c>
      <c r="I16" s="3" t="s">
        <v>86</v>
      </c>
      <c r="J16" s="1">
        <v>76.2</v>
      </c>
      <c r="K16" s="3" t="s">
        <v>86</v>
      </c>
      <c r="L16" s="3" t="s">
        <v>86</v>
      </c>
      <c r="M16" s="1">
        <v>48.9</v>
      </c>
      <c r="N16" s="1">
        <v>4.5</v>
      </c>
      <c r="O16" s="1">
        <v>10.9</v>
      </c>
      <c r="P16" s="1">
        <v>8.5</v>
      </c>
    </row>
    <row r="17" spans="1:16">
      <c r="A17" t="s">
        <v>15</v>
      </c>
      <c r="B17" s="1">
        <v>60.9</v>
      </c>
      <c r="C17" s="1">
        <v>20.6</v>
      </c>
      <c r="D17" s="1">
        <v>17.7</v>
      </c>
      <c r="E17" s="1">
        <v>14.3</v>
      </c>
      <c r="F17" s="3" t="s">
        <v>86</v>
      </c>
      <c r="G17" s="1">
        <v>23.4</v>
      </c>
      <c r="H17" s="3" t="s">
        <v>86</v>
      </c>
      <c r="I17" s="3" t="s">
        <v>86</v>
      </c>
      <c r="J17" s="1">
        <v>83.1</v>
      </c>
      <c r="K17" s="3" t="s">
        <v>86</v>
      </c>
      <c r="L17" s="3" t="s">
        <v>86</v>
      </c>
      <c r="M17" s="1">
        <v>52.2</v>
      </c>
      <c r="N17" s="1">
        <v>5.2</v>
      </c>
      <c r="O17" s="1">
        <v>13.8</v>
      </c>
      <c r="P17" s="1">
        <v>6.2</v>
      </c>
    </row>
    <row r="18" spans="1:16">
      <c r="A18" t="s">
        <v>16</v>
      </c>
      <c r="B18" s="1">
        <v>48.4</v>
      </c>
      <c r="C18" s="1">
        <v>32.299999999999997</v>
      </c>
      <c r="D18" s="1">
        <v>15.1</v>
      </c>
      <c r="E18" s="1">
        <v>22.6</v>
      </c>
      <c r="F18" s="3" t="s">
        <v>86</v>
      </c>
      <c r="G18" s="1">
        <v>18.899999999999999</v>
      </c>
      <c r="H18" s="3" t="s">
        <v>86</v>
      </c>
      <c r="I18" s="3" t="s">
        <v>86</v>
      </c>
      <c r="J18" s="1">
        <v>65.2</v>
      </c>
      <c r="K18" s="3" t="s">
        <v>86</v>
      </c>
      <c r="L18" s="3" t="s">
        <v>86</v>
      </c>
      <c r="M18" s="1">
        <v>41.2</v>
      </c>
      <c r="N18" s="1">
        <v>5.8</v>
      </c>
      <c r="O18" s="1">
        <v>12.2</v>
      </c>
      <c r="P18" s="1">
        <v>8.1</v>
      </c>
    </row>
    <row r="19" spans="1:16">
      <c r="A19" t="s">
        <v>17</v>
      </c>
      <c r="B19" s="1">
        <v>54.7</v>
      </c>
      <c r="C19" s="1">
        <v>23</v>
      </c>
      <c r="D19" s="1">
        <v>13.6</v>
      </c>
      <c r="E19" s="1">
        <v>25.5</v>
      </c>
      <c r="F19" s="3" t="s">
        <v>86</v>
      </c>
      <c r="G19" s="1">
        <v>20.6</v>
      </c>
      <c r="H19" s="3" t="s">
        <v>86</v>
      </c>
      <c r="I19" s="3" t="s">
        <v>86</v>
      </c>
      <c r="J19" s="1">
        <v>74.900000000000006</v>
      </c>
      <c r="K19" s="3" t="s">
        <v>86</v>
      </c>
      <c r="L19" s="3" t="s">
        <v>86</v>
      </c>
      <c r="M19" s="1">
        <v>48.2</v>
      </c>
      <c r="N19" s="1">
        <v>5.0999999999999996</v>
      </c>
      <c r="O19" s="1">
        <v>11.7</v>
      </c>
      <c r="P19" s="1">
        <v>5.4</v>
      </c>
    </row>
    <row r="20" spans="1:16">
      <c r="A20" t="s">
        <v>18</v>
      </c>
      <c r="B20" s="1">
        <v>59.1</v>
      </c>
      <c r="C20" s="1">
        <v>20.8</v>
      </c>
      <c r="D20" s="1">
        <v>12.4</v>
      </c>
      <c r="E20" s="1">
        <v>25.7</v>
      </c>
      <c r="F20" s="3" t="s">
        <v>86</v>
      </c>
      <c r="G20" s="1">
        <v>18.8</v>
      </c>
      <c r="H20" s="3" t="s">
        <v>86</v>
      </c>
      <c r="I20" s="3" t="s">
        <v>86</v>
      </c>
      <c r="J20" s="1">
        <v>75.099999999999994</v>
      </c>
      <c r="K20" s="3" t="s">
        <v>86</v>
      </c>
      <c r="L20" s="3" t="s">
        <v>86</v>
      </c>
      <c r="M20" s="1">
        <v>42.3</v>
      </c>
      <c r="N20" s="1">
        <v>8.8000000000000007</v>
      </c>
      <c r="O20" s="1">
        <v>12.1</v>
      </c>
      <c r="P20" s="1">
        <v>6.8</v>
      </c>
    </row>
    <row r="21" spans="1:16">
      <c r="A21" t="s">
        <v>19</v>
      </c>
      <c r="B21" s="1">
        <v>48.4</v>
      </c>
      <c r="C21" s="1">
        <v>32.1</v>
      </c>
      <c r="D21" s="1">
        <v>7.6</v>
      </c>
      <c r="E21" s="1">
        <v>25.5</v>
      </c>
      <c r="F21" s="3" t="s">
        <v>86</v>
      </c>
      <c r="G21" s="1">
        <v>24.2</v>
      </c>
      <c r="H21" s="3" t="s">
        <v>86</v>
      </c>
      <c r="I21" s="3" t="s">
        <v>86</v>
      </c>
      <c r="J21" s="1">
        <v>74.900000000000006</v>
      </c>
      <c r="K21" s="3" t="s">
        <v>86</v>
      </c>
      <c r="L21" s="3" t="s">
        <v>86</v>
      </c>
      <c r="M21" s="1">
        <v>43.8</v>
      </c>
      <c r="N21" s="1">
        <v>5.9</v>
      </c>
      <c r="O21" s="1">
        <v>12.4</v>
      </c>
      <c r="P21" s="1">
        <v>6.8</v>
      </c>
    </row>
    <row r="22" spans="1:16">
      <c r="A22" t="s">
        <v>20</v>
      </c>
      <c r="B22" s="1">
        <v>48.7</v>
      </c>
      <c r="C22" s="1">
        <v>32.6</v>
      </c>
      <c r="D22" s="1">
        <v>11.6</v>
      </c>
      <c r="E22" s="1">
        <v>27.9</v>
      </c>
      <c r="F22" s="3" t="s">
        <v>86</v>
      </c>
      <c r="G22" s="1">
        <v>20</v>
      </c>
      <c r="H22" s="3" t="s">
        <v>86</v>
      </c>
      <c r="I22" s="3" t="s">
        <v>86</v>
      </c>
      <c r="J22" s="1">
        <v>61</v>
      </c>
      <c r="K22" s="3" t="s">
        <v>86</v>
      </c>
      <c r="L22" s="3" t="s">
        <v>86</v>
      </c>
      <c r="M22" s="1">
        <v>45</v>
      </c>
      <c r="N22" s="1">
        <v>6.4</v>
      </c>
      <c r="O22" s="1">
        <v>14.8</v>
      </c>
      <c r="P22" s="1">
        <v>6.9</v>
      </c>
    </row>
    <row r="23" spans="1:16">
      <c r="A23" t="s">
        <v>21</v>
      </c>
      <c r="B23" s="1">
        <v>59.9</v>
      </c>
      <c r="C23" s="1">
        <v>22</v>
      </c>
      <c r="D23" s="1">
        <v>18.2</v>
      </c>
      <c r="E23" s="1">
        <v>16.600000000000001</v>
      </c>
      <c r="F23" s="3" t="s">
        <v>86</v>
      </c>
      <c r="G23" s="1">
        <v>18.7</v>
      </c>
      <c r="H23" s="3" t="s">
        <v>86</v>
      </c>
      <c r="I23" s="3" t="s">
        <v>86</v>
      </c>
      <c r="J23" s="1">
        <v>75.900000000000006</v>
      </c>
      <c r="K23" s="3" t="s">
        <v>86</v>
      </c>
      <c r="L23" s="3" t="s">
        <v>86</v>
      </c>
      <c r="M23" s="1">
        <v>55</v>
      </c>
      <c r="N23" s="1">
        <v>5</v>
      </c>
      <c r="O23" s="1">
        <v>14.7</v>
      </c>
      <c r="P23" s="1">
        <v>10.7</v>
      </c>
    </row>
    <row r="24" spans="1:16">
      <c r="A24" t="s">
        <v>22</v>
      </c>
      <c r="B24" s="1">
        <v>74.599999999999994</v>
      </c>
      <c r="C24" s="1">
        <v>7.8</v>
      </c>
      <c r="D24" s="1">
        <v>27.7</v>
      </c>
      <c r="E24" s="1">
        <v>13.7</v>
      </c>
      <c r="F24" s="3" t="s">
        <v>86</v>
      </c>
      <c r="G24" s="1">
        <v>21.8</v>
      </c>
      <c r="H24" s="3" t="s">
        <v>86</v>
      </c>
      <c r="I24" s="3" t="s">
        <v>86</v>
      </c>
      <c r="J24" s="1">
        <v>78.599999999999994</v>
      </c>
      <c r="K24" s="3" t="s">
        <v>86</v>
      </c>
      <c r="L24" s="1">
        <v>58.9</v>
      </c>
      <c r="M24" s="1">
        <v>53.9</v>
      </c>
      <c r="N24" s="1">
        <v>3.4</v>
      </c>
      <c r="O24" s="1">
        <v>7.4</v>
      </c>
      <c r="P24" s="1">
        <v>13.2</v>
      </c>
    </row>
    <row r="25" spans="1:16">
      <c r="A25" t="s">
        <v>23</v>
      </c>
      <c r="B25" s="1">
        <v>73.8</v>
      </c>
      <c r="C25" s="1">
        <v>8.1999999999999993</v>
      </c>
      <c r="D25" s="1">
        <v>29</v>
      </c>
      <c r="E25" s="1">
        <v>11.8</v>
      </c>
      <c r="F25" s="3" t="s">
        <v>86</v>
      </c>
      <c r="G25" s="1">
        <v>20.7</v>
      </c>
      <c r="H25" s="3" t="s">
        <v>86</v>
      </c>
      <c r="I25" s="3" t="s">
        <v>86</v>
      </c>
      <c r="J25" s="1">
        <v>79.400000000000006</v>
      </c>
      <c r="K25" s="3" t="s">
        <v>86</v>
      </c>
      <c r="L25" s="1">
        <v>57.7</v>
      </c>
      <c r="M25" s="1">
        <v>54.2</v>
      </c>
      <c r="N25" s="1">
        <v>3.4</v>
      </c>
      <c r="O25" s="1">
        <v>8</v>
      </c>
      <c r="P25" s="1">
        <v>14.7</v>
      </c>
    </row>
    <row r="26" spans="1:16">
      <c r="A26" t="s">
        <v>24</v>
      </c>
      <c r="B26" s="1">
        <v>75.8</v>
      </c>
      <c r="C26" s="1">
        <v>7.2</v>
      </c>
      <c r="D26" s="1">
        <v>26.4</v>
      </c>
      <c r="E26" s="1">
        <v>15.8</v>
      </c>
      <c r="F26" s="3" t="s">
        <v>86</v>
      </c>
      <c r="G26" s="1">
        <v>23.4</v>
      </c>
      <c r="H26" s="3" t="s">
        <v>86</v>
      </c>
      <c r="I26" s="3" t="s">
        <v>86</v>
      </c>
      <c r="J26" s="1">
        <v>77.5</v>
      </c>
      <c r="K26" s="3" t="s">
        <v>86</v>
      </c>
      <c r="L26" s="1">
        <v>60.4</v>
      </c>
      <c r="M26" s="1">
        <v>53.5</v>
      </c>
      <c r="N26" s="1">
        <v>3.4</v>
      </c>
      <c r="O26" s="1">
        <v>6.8</v>
      </c>
      <c r="P26" s="1">
        <v>11.2</v>
      </c>
    </row>
    <row r="27" spans="1:16">
      <c r="A27" t="s">
        <v>25</v>
      </c>
      <c r="B27" s="1">
        <v>70.900000000000006</v>
      </c>
      <c r="C27" s="1">
        <v>10.8</v>
      </c>
      <c r="D27" s="1">
        <v>21.1</v>
      </c>
      <c r="E27" s="1">
        <v>17.5</v>
      </c>
      <c r="F27" s="3" t="s">
        <v>86</v>
      </c>
      <c r="G27" s="1">
        <v>22.6</v>
      </c>
      <c r="H27" s="3" t="s">
        <v>86</v>
      </c>
      <c r="I27" s="3" t="s">
        <v>86</v>
      </c>
      <c r="J27" s="1">
        <v>78.5</v>
      </c>
      <c r="K27" s="3" t="s">
        <v>86</v>
      </c>
      <c r="L27" s="1">
        <v>61.5</v>
      </c>
      <c r="M27" s="1">
        <v>53.9</v>
      </c>
      <c r="N27" s="1">
        <v>3.9</v>
      </c>
      <c r="O27" s="1">
        <v>10.6</v>
      </c>
      <c r="P27" s="1">
        <v>15</v>
      </c>
    </row>
    <row r="28" spans="1:16">
      <c r="A28" t="s">
        <v>26</v>
      </c>
      <c r="B28" s="1">
        <v>52.2</v>
      </c>
      <c r="C28" s="1">
        <v>28</v>
      </c>
      <c r="D28" s="1">
        <v>13.6</v>
      </c>
      <c r="E28" s="1">
        <v>23.9</v>
      </c>
      <c r="F28" s="3" t="s">
        <v>86</v>
      </c>
      <c r="G28" s="1">
        <v>20.5</v>
      </c>
      <c r="H28" s="3" t="s">
        <v>86</v>
      </c>
      <c r="I28" s="3" t="s">
        <v>86</v>
      </c>
      <c r="J28" s="1">
        <v>66.599999999999994</v>
      </c>
      <c r="K28" s="3" t="s">
        <v>86</v>
      </c>
      <c r="L28" s="1">
        <v>70</v>
      </c>
      <c r="M28" s="1">
        <v>45.8</v>
      </c>
      <c r="N28" s="1">
        <v>5.7</v>
      </c>
      <c r="O28" s="1">
        <v>12.9</v>
      </c>
      <c r="P28" s="1">
        <v>7.4</v>
      </c>
    </row>
    <row r="29" spans="1:16">
      <c r="A29" t="s">
        <v>27</v>
      </c>
      <c r="B29" s="1">
        <v>52.5</v>
      </c>
      <c r="C29" s="1">
        <v>27.1</v>
      </c>
      <c r="D29" s="1">
        <v>13.6</v>
      </c>
      <c r="E29" s="1">
        <v>23.3</v>
      </c>
      <c r="F29" s="3" t="s">
        <v>86</v>
      </c>
      <c r="G29" s="1">
        <v>20.9</v>
      </c>
      <c r="H29" s="3" t="s">
        <v>86</v>
      </c>
      <c r="I29" s="3" t="s">
        <v>86</v>
      </c>
      <c r="J29" s="1">
        <v>69.5</v>
      </c>
      <c r="K29" s="3" t="s">
        <v>86</v>
      </c>
      <c r="L29" s="1">
        <v>70.400000000000006</v>
      </c>
      <c r="M29" s="1">
        <v>44.9</v>
      </c>
      <c r="N29" s="1">
        <v>5.6</v>
      </c>
      <c r="O29" s="1">
        <v>12</v>
      </c>
      <c r="P29" s="1">
        <v>7.1</v>
      </c>
    </row>
    <row r="30" spans="1:16">
      <c r="A30" t="s">
        <v>28</v>
      </c>
      <c r="B30" s="1">
        <v>51.5</v>
      </c>
      <c r="C30" s="1">
        <v>29.9</v>
      </c>
      <c r="D30" s="1">
        <v>13.4</v>
      </c>
      <c r="E30" s="1">
        <v>25.3</v>
      </c>
      <c r="F30" s="3" t="s">
        <v>86</v>
      </c>
      <c r="G30" s="1">
        <v>19.600000000000001</v>
      </c>
      <c r="H30" s="3" t="s">
        <v>86</v>
      </c>
      <c r="I30" s="3" t="s">
        <v>86</v>
      </c>
      <c r="J30" s="1">
        <v>61.2</v>
      </c>
      <c r="K30" s="3" t="s">
        <v>86</v>
      </c>
      <c r="L30" s="1">
        <v>68.400000000000006</v>
      </c>
      <c r="M30" s="1">
        <v>47.9</v>
      </c>
      <c r="N30" s="1">
        <v>6</v>
      </c>
      <c r="O30" s="1">
        <v>14.8</v>
      </c>
      <c r="P30" s="1">
        <v>8</v>
      </c>
    </row>
    <row r="31" spans="1:16">
      <c r="A31" t="s">
        <v>29</v>
      </c>
      <c r="B31" s="1">
        <v>66.3</v>
      </c>
      <c r="C31" s="1">
        <v>14.8</v>
      </c>
      <c r="D31" s="1">
        <v>21.4</v>
      </c>
      <c r="E31" s="1">
        <v>18.100000000000001</v>
      </c>
      <c r="F31" s="3" t="s">
        <v>86</v>
      </c>
      <c r="G31" s="1">
        <v>21.7</v>
      </c>
      <c r="H31" s="3" t="s">
        <v>86</v>
      </c>
      <c r="I31" s="1">
        <v>10</v>
      </c>
      <c r="J31" s="1">
        <v>73</v>
      </c>
      <c r="K31" s="3" t="s">
        <v>86</v>
      </c>
      <c r="L31" s="1">
        <v>61.6</v>
      </c>
      <c r="M31" s="1">
        <v>51.7</v>
      </c>
      <c r="N31" s="1">
        <v>4.0999999999999996</v>
      </c>
      <c r="O31" s="1">
        <v>9.6</v>
      </c>
      <c r="P31" s="1">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E0EC7-B04E-4F82-83B4-7A4B4B23A15B}">
  <dimension ref="A1:J31"/>
  <sheetViews>
    <sheetView topLeftCell="A5" zoomScaleNormal="100" workbookViewId="0">
      <selection activeCell="F26" sqref="F26"/>
    </sheetView>
  </sheetViews>
  <sheetFormatPr baseColWidth="10" defaultColWidth="8.83203125" defaultRowHeight="15"/>
  <cols>
    <col min="1" max="1" width="37.5" bestFit="1" customWidth="1"/>
    <col min="2" max="2" width="33.83203125" bestFit="1" customWidth="1"/>
    <col min="3" max="3" width="41.83203125" bestFit="1" customWidth="1"/>
    <col min="4" max="4" width="47.1640625" bestFit="1" customWidth="1"/>
    <col min="5" max="5" width="44.6640625" bestFit="1" customWidth="1"/>
    <col min="6" max="6" width="27.1640625" bestFit="1" customWidth="1"/>
    <col min="7" max="7" width="21.5" bestFit="1" customWidth="1"/>
    <col min="8" max="8" width="47.83203125" bestFit="1" customWidth="1"/>
    <col min="9" max="9" width="21.6640625" bestFit="1" customWidth="1"/>
    <col min="10" max="10" width="106.83203125" bestFit="1" customWidth="1"/>
    <col min="11" max="11" width="90.5" bestFit="1" customWidth="1"/>
    <col min="12" max="12" width="31" bestFit="1" customWidth="1"/>
    <col min="13" max="13" width="32.6640625" bestFit="1" customWidth="1"/>
    <col min="14" max="14" width="41.83203125" bestFit="1" customWidth="1"/>
    <col min="15" max="15" width="21.5" bestFit="1" customWidth="1"/>
    <col min="16" max="16" width="30.5" customWidth="1"/>
  </cols>
  <sheetData>
    <row r="1" spans="1:10" s="2" customFormat="1">
      <c r="A1" s="2" t="s">
        <v>84</v>
      </c>
      <c r="B1" s="2" t="s">
        <v>72</v>
      </c>
      <c r="C1" s="2" t="s">
        <v>73</v>
      </c>
      <c r="D1" s="2" t="s">
        <v>74</v>
      </c>
      <c r="E1" s="2" t="s">
        <v>75</v>
      </c>
      <c r="F1" s="2" t="s">
        <v>76</v>
      </c>
      <c r="G1" s="2" t="s">
        <v>93</v>
      </c>
      <c r="H1" s="2" t="s">
        <v>79</v>
      </c>
      <c r="I1" s="2" t="s">
        <v>80</v>
      </c>
      <c r="J1" s="2" t="s">
        <v>77</v>
      </c>
    </row>
    <row r="2" spans="1:10">
      <c r="A2" t="s">
        <v>0</v>
      </c>
      <c r="B2" s="1">
        <v>36.4</v>
      </c>
      <c r="C2" s="1">
        <v>24.3</v>
      </c>
      <c r="D2" s="1">
        <v>85.7</v>
      </c>
      <c r="E2" s="1">
        <v>25.2</v>
      </c>
      <c r="F2" s="1">
        <v>64.2</v>
      </c>
      <c r="G2" s="1">
        <v>9.1</v>
      </c>
      <c r="H2" s="1">
        <v>11.5</v>
      </c>
      <c r="I2" s="1">
        <v>72</v>
      </c>
      <c r="J2" s="1">
        <v>25.1</v>
      </c>
    </row>
    <row r="3" spans="1:10">
      <c r="A3" t="s">
        <v>87</v>
      </c>
      <c r="B3" s="1">
        <v>40.700000000000003</v>
      </c>
      <c r="C3" s="1">
        <v>30.8</v>
      </c>
      <c r="D3" s="1">
        <v>88.4</v>
      </c>
      <c r="E3" s="1">
        <v>25.2</v>
      </c>
      <c r="F3" s="1">
        <v>63.8</v>
      </c>
      <c r="G3" s="1">
        <v>9.9</v>
      </c>
      <c r="H3" s="1">
        <v>13.5</v>
      </c>
      <c r="I3" s="1">
        <v>110</v>
      </c>
      <c r="J3" s="1">
        <v>31.3</v>
      </c>
    </row>
    <row r="4" spans="1:10">
      <c r="A4" t="s">
        <v>2</v>
      </c>
      <c r="B4" s="1">
        <v>38.9</v>
      </c>
      <c r="C4" s="1">
        <v>26.6</v>
      </c>
      <c r="D4" s="1">
        <v>81.400000000000006</v>
      </c>
      <c r="E4" s="1">
        <v>25.3</v>
      </c>
      <c r="F4" s="1">
        <v>65.400000000000006</v>
      </c>
      <c r="G4" s="1">
        <v>8.6999999999999993</v>
      </c>
      <c r="H4" s="1">
        <v>12.4</v>
      </c>
      <c r="I4" s="1">
        <v>75.599999999999994</v>
      </c>
      <c r="J4" s="1">
        <v>27.5</v>
      </c>
    </row>
    <row r="5" spans="1:10">
      <c r="A5" t="s">
        <v>3</v>
      </c>
      <c r="B5" s="1">
        <v>36.9</v>
      </c>
      <c r="C5" s="1">
        <v>25.3</v>
      </c>
      <c r="D5" s="1">
        <v>83</v>
      </c>
      <c r="E5" s="1">
        <v>28.8</v>
      </c>
      <c r="F5" s="1">
        <v>67.099999999999994</v>
      </c>
      <c r="G5" s="1">
        <v>9.6999999999999993</v>
      </c>
      <c r="H5" s="1">
        <v>14.6</v>
      </c>
      <c r="I5" s="1">
        <v>58.4</v>
      </c>
      <c r="J5" s="1">
        <v>27.1</v>
      </c>
    </row>
    <row r="6" spans="1:10">
      <c r="A6" t="s">
        <v>88</v>
      </c>
      <c r="B6" s="1">
        <v>41</v>
      </c>
      <c r="C6" s="1">
        <v>30.5</v>
      </c>
      <c r="D6" s="1">
        <v>85.3</v>
      </c>
      <c r="E6" s="1">
        <v>36.799999999999997</v>
      </c>
      <c r="F6" s="1">
        <v>65.599999999999994</v>
      </c>
      <c r="G6" s="1">
        <v>16</v>
      </c>
      <c r="H6" s="1">
        <v>21</v>
      </c>
      <c r="I6" s="1">
        <v>108.7</v>
      </c>
      <c r="J6" s="1">
        <v>37.1</v>
      </c>
    </row>
    <row r="7" spans="1:10">
      <c r="A7" t="s">
        <v>5</v>
      </c>
      <c r="B7" s="1">
        <v>41.4</v>
      </c>
      <c r="C7" s="1">
        <v>33.700000000000003</v>
      </c>
      <c r="D7" s="1">
        <v>85.5</v>
      </c>
      <c r="E7" s="1">
        <v>39.700000000000003</v>
      </c>
      <c r="F7" s="1">
        <v>65.5</v>
      </c>
      <c r="G7" s="1">
        <v>13.8</v>
      </c>
      <c r="H7" s="1">
        <v>20.7</v>
      </c>
      <c r="I7" s="1">
        <v>100.2</v>
      </c>
      <c r="J7" s="1">
        <v>35.200000000000003</v>
      </c>
    </row>
    <row r="8" spans="1:10">
      <c r="A8" t="s">
        <v>6</v>
      </c>
      <c r="B8" s="1">
        <v>40.6</v>
      </c>
      <c r="C8" s="1">
        <v>27.5</v>
      </c>
      <c r="D8" s="1">
        <v>85.1</v>
      </c>
      <c r="E8" s="1">
        <v>33.9</v>
      </c>
      <c r="F8" s="1">
        <v>65.599999999999994</v>
      </c>
      <c r="G8" s="1">
        <v>18</v>
      </c>
      <c r="H8" s="1">
        <v>21.2</v>
      </c>
      <c r="I8" s="1">
        <v>117</v>
      </c>
      <c r="J8" s="1">
        <v>39</v>
      </c>
    </row>
    <row r="9" spans="1:10">
      <c r="A9" t="s">
        <v>7</v>
      </c>
      <c r="B9" s="1">
        <v>35.5</v>
      </c>
      <c r="C9" s="1">
        <v>24.4</v>
      </c>
      <c r="D9" s="1">
        <v>86.3</v>
      </c>
      <c r="E9" s="1">
        <v>30.1</v>
      </c>
      <c r="F9" s="1">
        <v>66.2</v>
      </c>
      <c r="G9" s="1">
        <v>9.4</v>
      </c>
      <c r="H9" s="1">
        <v>12.2</v>
      </c>
      <c r="I9" s="1">
        <v>64.099999999999994</v>
      </c>
      <c r="J9" s="1">
        <v>28.6</v>
      </c>
    </row>
    <row r="10" spans="1:10">
      <c r="A10" t="s">
        <v>8</v>
      </c>
      <c r="B10" s="1">
        <v>34.700000000000003</v>
      </c>
      <c r="C10" s="1">
        <v>23.9</v>
      </c>
      <c r="D10" s="1">
        <v>83.9</v>
      </c>
      <c r="E10" s="1">
        <v>27.9</v>
      </c>
      <c r="F10" s="1">
        <v>63</v>
      </c>
      <c r="G10" s="1">
        <v>10.1</v>
      </c>
      <c r="H10" s="1">
        <v>14.3</v>
      </c>
      <c r="I10" s="1">
        <v>89.9</v>
      </c>
      <c r="J10" s="1">
        <v>27.2</v>
      </c>
    </row>
    <row r="11" spans="1:10">
      <c r="A11" t="s">
        <v>9</v>
      </c>
      <c r="B11" s="1">
        <v>37.299999999999997</v>
      </c>
      <c r="C11" s="1">
        <v>25.7</v>
      </c>
      <c r="D11" s="1">
        <v>85.3</v>
      </c>
      <c r="E11" s="1">
        <v>28.6</v>
      </c>
      <c r="F11" s="1">
        <v>68.400000000000006</v>
      </c>
      <c r="G11" s="1">
        <v>9.1999999999999993</v>
      </c>
      <c r="H11" s="1">
        <v>14.9</v>
      </c>
      <c r="I11" s="1">
        <v>61.9</v>
      </c>
      <c r="J11" s="1">
        <v>26.7</v>
      </c>
    </row>
    <row r="12" spans="1:10">
      <c r="A12" t="s">
        <v>10</v>
      </c>
      <c r="B12" s="1">
        <v>39.1</v>
      </c>
      <c r="C12" s="1">
        <v>25.4</v>
      </c>
      <c r="D12" s="1">
        <v>85.4</v>
      </c>
      <c r="E12" s="1">
        <v>25.8</v>
      </c>
      <c r="F12" s="1">
        <v>63.3</v>
      </c>
      <c r="G12" s="1">
        <v>8.6</v>
      </c>
      <c r="H12" s="1">
        <v>14.9</v>
      </c>
      <c r="I12" s="1">
        <v>73.599999999999994</v>
      </c>
      <c r="J12" s="1">
        <v>26.5</v>
      </c>
    </row>
    <row r="13" spans="1:10">
      <c r="A13" t="s">
        <v>11</v>
      </c>
      <c r="B13" s="1">
        <v>38.1</v>
      </c>
      <c r="C13" s="1">
        <v>27.5</v>
      </c>
      <c r="D13" s="1">
        <v>86.1</v>
      </c>
      <c r="E13" s="1">
        <v>25.4</v>
      </c>
      <c r="F13" s="1">
        <v>62.2</v>
      </c>
      <c r="G13" s="1">
        <v>8.3000000000000007</v>
      </c>
      <c r="H13" s="1">
        <v>11.9</v>
      </c>
      <c r="I13" s="1">
        <v>84.8</v>
      </c>
      <c r="J13" s="1">
        <v>23.6</v>
      </c>
    </row>
    <row r="14" spans="1:10">
      <c r="A14" t="s">
        <v>12</v>
      </c>
      <c r="B14" s="1">
        <v>29.4</v>
      </c>
      <c r="C14" s="1">
        <v>21</v>
      </c>
      <c r="D14" s="1">
        <v>86.1</v>
      </c>
      <c r="E14" s="1">
        <v>27.2</v>
      </c>
      <c r="F14" s="1">
        <v>62.5</v>
      </c>
      <c r="G14" s="1">
        <v>6.9</v>
      </c>
      <c r="H14" s="1">
        <v>12.9</v>
      </c>
      <c r="I14" s="1">
        <v>75.900000000000006</v>
      </c>
      <c r="J14" s="1">
        <v>29.2</v>
      </c>
    </row>
    <row r="15" spans="1:10">
      <c r="A15" t="s">
        <v>13</v>
      </c>
      <c r="B15" s="1">
        <v>30.4</v>
      </c>
      <c r="C15" s="1">
        <v>22.1</v>
      </c>
      <c r="D15" s="1">
        <v>82.7</v>
      </c>
      <c r="E15" s="1">
        <v>27.9</v>
      </c>
      <c r="F15" s="1">
        <v>63.3</v>
      </c>
      <c r="G15" s="1">
        <v>6.3</v>
      </c>
      <c r="H15" s="1">
        <v>9.6</v>
      </c>
      <c r="I15" s="1">
        <v>62.5</v>
      </c>
      <c r="J15" s="1">
        <v>25.9</v>
      </c>
    </row>
    <row r="16" spans="1:10">
      <c r="A16" t="s">
        <v>14</v>
      </c>
      <c r="B16" s="1">
        <v>31.2</v>
      </c>
      <c r="C16" s="1">
        <v>23.8</v>
      </c>
      <c r="D16" s="1">
        <v>85.6</v>
      </c>
      <c r="E16" s="1">
        <v>26</v>
      </c>
      <c r="F16" s="1">
        <v>61.6</v>
      </c>
      <c r="G16" s="1">
        <v>6.7</v>
      </c>
      <c r="H16" s="1">
        <v>9.6999999999999993</v>
      </c>
      <c r="I16" s="1">
        <v>69.400000000000006</v>
      </c>
      <c r="J16" s="1">
        <v>22.2</v>
      </c>
    </row>
    <row r="17" spans="1:10">
      <c r="A17" t="s">
        <v>15</v>
      </c>
      <c r="B17" s="1">
        <v>26.5</v>
      </c>
      <c r="C17" s="1">
        <v>19.100000000000001</v>
      </c>
      <c r="D17" s="1">
        <v>87.3</v>
      </c>
      <c r="E17" s="1">
        <v>22.9</v>
      </c>
      <c r="F17" s="1">
        <v>55.6</v>
      </c>
      <c r="G17" s="1">
        <v>5.9</v>
      </c>
      <c r="H17" s="1">
        <v>7.1</v>
      </c>
      <c r="I17" s="1">
        <v>68.7</v>
      </c>
      <c r="J17" s="1">
        <v>18.600000000000001</v>
      </c>
    </row>
    <row r="18" spans="1:10">
      <c r="A18" t="s">
        <v>16</v>
      </c>
      <c r="B18" s="1">
        <v>26.8</v>
      </c>
      <c r="C18" s="1">
        <v>19.100000000000001</v>
      </c>
      <c r="D18" s="1">
        <v>82.4</v>
      </c>
      <c r="E18" s="1">
        <v>21.6</v>
      </c>
      <c r="F18" s="1">
        <v>49.2</v>
      </c>
      <c r="G18" s="1">
        <v>4.8</v>
      </c>
      <c r="H18" s="1">
        <v>5.4</v>
      </c>
      <c r="I18" s="1">
        <v>41.7</v>
      </c>
      <c r="J18" s="1">
        <v>23</v>
      </c>
    </row>
    <row r="19" spans="1:10">
      <c r="A19" t="s">
        <v>17</v>
      </c>
      <c r="B19" s="1">
        <v>25.7</v>
      </c>
      <c r="C19" s="1">
        <v>16.100000000000001</v>
      </c>
      <c r="D19" s="1">
        <v>78.900000000000006</v>
      </c>
      <c r="E19" s="1">
        <v>24</v>
      </c>
      <c r="F19" s="1">
        <v>51.6</v>
      </c>
      <c r="G19" s="1">
        <v>6.4</v>
      </c>
      <c r="H19" s="1">
        <v>7.7</v>
      </c>
      <c r="I19" s="1">
        <v>52</v>
      </c>
      <c r="J19" s="1">
        <v>20.2</v>
      </c>
    </row>
    <row r="20" spans="1:10">
      <c r="A20" t="s">
        <v>18</v>
      </c>
      <c r="B20" s="1">
        <v>26.4</v>
      </c>
      <c r="C20" s="1">
        <v>19.100000000000001</v>
      </c>
      <c r="D20" s="1">
        <v>86.4</v>
      </c>
      <c r="E20" s="1">
        <v>21.7</v>
      </c>
      <c r="F20" s="1">
        <v>48.6</v>
      </c>
      <c r="G20" s="1">
        <v>7.3</v>
      </c>
      <c r="H20" s="1">
        <v>8.9</v>
      </c>
      <c r="I20" s="1">
        <v>71.400000000000006</v>
      </c>
      <c r="J20" s="1">
        <v>22.8</v>
      </c>
    </row>
    <row r="21" spans="1:10">
      <c r="A21" t="s">
        <v>19</v>
      </c>
      <c r="B21" s="1">
        <v>26.1</v>
      </c>
      <c r="C21" s="1">
        <v>17</v>
      </c>
      <c r="D21" s="1">
        <v>89.4</v>
      </c>
      <c r="E21" s="1">
        <v>20.9</v>
      </c>
      <c r="F21" s="1">
        <v>48.3</v>
      </c>
      <c r="G21" s="1">
        <v>5.6</v>
      </c>
      <c r="H21" s="1">
        <v>6.5</v>
      </c>
      <c r="I21" s="1">
        <v>59.7</v>
      </c>
      <c r="J21" s="1">
        <v>26.9</v>
      </c>
    </row>
    <row r="22" spans="1:10">
      <c r="A22" t="s">
        <v>20</v>
      </c>
      <c r="B22" s="1">
        <v>29.6</v>
      </c>
      <c r="C22" s="1">
        <v>18.7</v>
      </c>
      <c r="D22" s="1">
        <v>80.400000000000006</v>
      </c>
      <c r="E22" s="1">
        <v>19.7</v>
      </c>
      <c r="F22" s="1">
        <v>49.7</v>
      </c>
      <c r="G22" s="1">
        <v>4.5999999999999996</v>
      </c>
      <c r="H22" s="1">
        <v>4.5</v>
      </c>
      <c r="I22" s="1">
        <v>49.3</v>
      </c>
      <c r="J22" s="1">
        <v>12.1</v>
      </c>
    </row>
    <row r="23" spans="1:10">
      <c r="A23" t="s">
        <v>21</v>
      </c>
      <c r="B23" s="1">
        <v>32.9</v>
      </c>
      <c r="C23" s="1">
        <v>22.7</v>
      </c>
      <c r="D23" s="1">
        <v>89.7</v>
      </c>
      <c r="E23" s="1">
        <v>25.9</v>
      </c>
      <c r="F23" s="1">
        <v>59.9</v>
      </c>
      <c r="G23" s="1">
        <v>7.7</v>
      </c>
      <c r="H23" s="1">
        <v>10.8</v>
      </c>
      <c r="I23" s="1">
        <v>72.7</v>
      </c>
      <c r="J23" s="1">
        <v>27.4</v>
      </c>
    </row>
    <row r="24" spans="1:10">
      <c r="A24" t="s">
        <v>22</v>
      </c>
      <c r="B24" s="1">
        <v>36.799999999999997</v>
      </c>
      <c r="C24" s="1">
        <v>25.3</v>
      </c>
      <c r="D24" s="1">
        <v>84.5</v>
      </c>
      <c r="E24" s="1">
        <v>28.5</v>
      </c>
      <c r="F24" s="1">
        <v>66.400000000000006</v>
      </c>
      <c r="G24" s="1">
        <v>9.6</v>
      </c>
      <c r="H24" s="1">
        <v>13.9</v>
      </c>
      <c r="I24" s="1">
        <v>66.599999999999994</v>
      </c>
      <c r="J24" s="1">
        <v>27.4</v>
      </c>
    </row>
    <row r="25" spans="1:10">
      <c r="A25" t="s">
        <v>23</v>
      </c>
      <c r="B25" s="1">
        <v>37</v>
      </c>
      <c r="C25" s="1">
        <v>25.2</v>
      </c>
      <c r="D25" s="1">
        <v>83.6</v>
      </c>
      <c r="E25" s="1">
        <v>27.5</v>
      </c>
      <c r="F25" s="1">
        <v>66.099999999999994</v>
      </c>
      <c r="G25" s="1">
        <v>9.4</v>
      </c>
      <c r="H25" s="1">
        <v>13.6</v>
      </c>
      <c r="I25" s="1">
        <v>64.099999999999994</v>
      </c>
      <c r="J25" s="1">
        <v>26.6</v>
      </c>
    </row>
    <row r="26" spans="1:10">
      <c r="A26" t="s">
        <v>24</v>
      </c>
      <c r="B26" s="1">
        <v>36.6</v>
      </c>
      <c r="C26" s="1">
        <v>25.4</v>
      </c>
      <c r="D26" s="1">
        <v>85.6</v>
      </c>
      <c r="E26" s="1">
        <v>29.9</v>
      </c>
      <c r="F26" s="1">
        <v>66.599999999999994</v>
      </c>
      <c r="G26" s="1">
        <v>10</v>
      </c>
      <c r="H26" s="1">
        <v>14.3</v>
      </c>
      <c r="I26" s="1">
        <v>70.099999999999994</v>
      </c>
      <c r="J26" s="1">
        <v>28.5</v>
      </c>
    </row>
    <row r="27" spans="1:10">
      <c r="A27" t="s">
        <v>25</v>
      </c>
      <c r="B27" s="1">
        <v>33.6</v>
      </c>
      <c r="C27" s="1">
        <v>23.4</v>
      </c>
      <c r="D27" s="1">
        <v>84.2</v>
      </c>
      <c r="E27" s="1">
        <v>27</v>
      </c>
      <c r="F27" s="1">
        <v>63.1</v>
      </c>
      <c r="G27" s="1">
        <v>7.2</v>
      </c>
      <c r="H27" s="1">
        <v>11.8</v>
      </c>
      <c r="I27" s="1">
        <v>69.3</v>
      </c>
      <c r="J27" s="1">
        <v>26.4</v>
      </c>
    </row>
    <row r="28" spans="1:10">
      <c r="A28" t="s">
        <v>26</v>
      </c>
      <c r="B28" s="1">
        <v>27.9</v>
      </c>
      <c r="C28" s="1">
        <v>18.8</v>
      </c>
      <c r="D28" s="1">
        <v>82.9</v>
      </c>
      <c r="E28" s="1">
        <v>22.2</v>
      </c>
      <c r="F28" s="1">
        <v>51.5</v>
      </c>
      <c r="G28" s="1">
        <v>5.6</v>
      </c>
      <c r="H28" s="1">
        <v>6.6</v>
      </c>
      <c r="I28" s="1">
        <v>52.7</v>
      </c>
      <c r="J28" s="1">
        <v>20.399999999999999</v>
      </c>
    </row>
    <row r="29" spans="1:10">
      <c r="A29" t="s">
        <v>27</v>
      </c>
      <c r="B29" s="1">
        <v>26.8</v>
      </c>
      <c r="C29" s="1">
        <v>18.399999999999999</v>
      </c>
      <c r="D29" s="1">
        <v>82.9</v>
      </c>
      <c r="E29" s="1">
        <v>22.6</v>
      </c>
      <c r="F29" s="1">
        <v>51.1</v>
      </c>
      <c r="G29" s="1">
        <v>5.7</v>
      </c>
      <c r="H29" s="1">
        <v>6.8</v>
      </c>
      <c r="I29" s="1">
        <v>51.5</v>
      </c>
      <c r="J29" s="1">
        <v>22.6</v>
      </c>
    </row>
    <row r="30" spans="1:10">
      <c r="A30" t="s">
        <v>28</v>
      </c>
      <c r="B30" s="1">
        <v>30.4</v>
      </c>
      <c r="C30" s="1">
        <v>19.7</v>
      </c>
      <c r="D30" s="1">
        <v>82.8</v>
      </c>
      <c r="E30" s="1">
        <v>21.3</v>
      </c>
      <c r="F30" s="1">
        <v>52.3</v>
      </c>
      <c r="G30" s="1">
        <v>5.3</v>
      </c>
      <c r="H30" s="1">
        <v>6.1</v>
      </c>
      <c r="I30" s="1">
        <v>55.1</v>
      </c>
      <c r="J30" s="1">
        <v>15.9</v>
      </c>
    </row>
    <row r="31" spans="1:10">
      <c r="A31" t="s">
        <v>29</v>
      </c>
      <c r="B31" s="1">
        <v>33.200000000000003</v>
      </c>
      <c r="C31" s="1">
        <v>22.7</v>
      </c>
      <c r="D31" s="1">
        <v>83.9</v>
      </c>
      <c r="E31" s="1">
        <v>26.1</v>
      </c>
      <c r="F31" s="1">
        <v>60.7</v>
      </c>
      <c r="G31" s="1">
        <v>7.8</v>
      </c>
      <c r="H31" s="1">
        <v>11</v>
      </c>
      <c r="I31" s="1">
        <v>62.5</v>
      </c>
      <c r="J31" s="1">
        <v>24.8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DF02-8A8D-451F-80A7-4983924DEA52}">
  <dimension ref="A1:P36"/>
  <sheetViews>
    <sheetView workbookViewId="0">
      <selection activeCell="A36" sqref="A36"/>
    </sheetView>
  </sheetViews>
  <sheetFormatPr baseColWidth="10" defaultColWidth="8.83203125" defaultRowHeight="15"/>
  <cols>
    <col min="1" max="1" width="37.5" bestFit="1" customWidth="1"/>
    <col min="2" max="2" width="33.33203125" bestFit="1" customWidth="1"/>
    <col min="3" max="3" width="58.83203125" bestFit="1" customWidth="1"/>
    <col min="4" max="4" width="42.83203125" bestFit="1" customWidth="1"/>
    <col min="5" max="5" width="38.6640625" bestFit="1" customWidth="1"/>
    <col min="6" max="6" width="24.33203125" bestFit="1" customWidth="1"/>
    <col min="7" max="7" width="52.1640625" bestFit="1" customWidth="1"/>
    <col min="8" max="8" width="47.1640625" bestFit="1" customWidth="1"/>
    <col min="9" max="9" width="39.83203125" bestFit="1" customWidth="1"/>
    <col min="10" max="10" width="86.1640625" bestFit="1" customWidth="1"/>
    <col min="11" max="11" width="85.5" bestFit="1" customWidth="1"/>
    <col min="12" max="12" width="35" bestFit="1" customWidth="1"/>
    <col min="13" max="13" width="56.83203125" bestFit="1" customWidth="1"/>
    <col min="14" max="14" width="34.5" bestFit="1" customWidth="1"/>
    <col min="15" max="16" width="26.1640625" bestFit="1" customWidth="1"/>
  </cols>
  <sheetData>
    <row r="1" spans="1:16" s="2" customFormat="1">
      <c r="A1" s="2" t="s">
        <v>84</v>
      </c>
      <c r="B1" s="2" t="s">
        <v>32</v>
      </c>
      <c r="C1" s="2" t="s">
        <v>33</v>
      </c>
      <c r="D1" s="2" t="s">
        <v>35</v>
      </c>
      <c r="E1" s="2" t="s">
        <v>37</v>
      </c>
      <c r="F1" s="2" t="s">
        <v>85</v>
      </c>
      <c r="G1" s="2" t="s">
        <v>40</v>
      </c>
      <c r="H1" s="2" t="s">
        <v>41</v>
      </c>
      <c r="I1" s="2" t="s">
        <v>42</v>
      </c>
      <c r="J1" s="2" t="s">
        <v>43</v>
      </c>
      <c r="K1" s="2" t="s">
        <v>45</v>
      </c>
      <c r="L1" s="2" t="s">
        <v>46</v>
      </c>
      <c r="M1" s="2" t="s">
        <v>47</v>
      </c>
      <c r="N1" s="2" t="s">
        <v>49</v>
      </c>
      <c r="O1" s="2" t="s">
        <v>50</v>
      </c>
      <c r="P1" s="2" t="s">
        <v>51</v>
      </c>
    </row>
    <row r="2" spans="1:16">
      <c r="A2" t="s">
        <v>0</v>
      </c>
      <c r="B2" s="1">
        <v>39.799999999999997</v>
      </c>
      <c r="C2" s="1">
        <v>94.8</v>
      </c>
      <c r="D2" s="1">
        <v>66.599999999999994</v>
      </c>
      <c r="E2" s="1">
        <v>29.5</v>
      </c>
      <c r="F2" s="1">
        <v>55.1</v>
      </c>
      <c r="G2" s="1">
        <v>8.8000000000000007</v>
      </c>
      <c r="H2" s="1">
        <v>11.7</v>
      </c>
      <c r="I2" s="1">
        <v>11.6</v>
      </c>
      <c r="J2" s="1">
        <v>36.1</v>
      </c>
      <c r="K2" s="1">
        <v>39.5</v>
      </c>
      <c r="L2" s="1">
        <v>49.4</v>
      </c>
      <c r="M2" s="1" t="s">
        <v>86</v>
      </c>
      <c r="N2" s="1">
        <v>35.1</v>
      </c>
      <c r="O2" s="1">
        <v>39.4</v>
      </c>
      <c r="P2" s="1">
        <v>13.2</v>
      </c>
    </row>
    <row r="3" spans="1:16">
      <c r="A3" t="s">
        <v>1</v>
      </c>
      <c r="B3" s="1">
        <v>42</v>
      </c>
      <c r="C3" s="1">
        <v>95.6</v>
      </c>
      <c r="D3" s="1">
        <v>63</v>
      </c>
      <c r="E3" s="1">
        <v>32.5</v>
      </c>
      <c r="F3" s="1">
        <v>57.3</v>
      </c>
      <c r="G3" s="1">
        <v>10.4</v>
      </c>
      <c r="H3" s="1">
        <v>9.9</v>
      </c>
      <c r="I3" s="1">
        <v>11.7</v>
      </c>
      <c r="J3" s="1">
        <v>29.9</v>
      </c>
      <c r="K3" s="1">
        <v>36</v>
      </c>
      <c r="L3" s="1">
        <v>47.7</v>
      </c>
      <c r="M3" s="1" t="s">
        <v>86</v>
      </c>
      <c r="N3" s="1">
        <v>36.200000000000003</v>
      </c>
      <c r="O3" s="1">
        <v>47.3</v>
      </c>
      <c r="P3" s="1">
        <v>26.8</v>
      </c>
    </row>
    <row r="4" spans="1:16">
      <c r="A4" t="s">
        <v>2</v>
      </c>
      <c r="B4" s="1">
        <v>26.3</v>
      </c>
      <c r="C4" s="1">
        <v>96.1</v>
      </c>
      <c r="D4" s="1">
        <v>71.5</v>
      </c>
      <c r="E4" s="1">
        <v>31.2</v>
      </c>
      <c r="F4" s="1">
        <v>56.1</v>
      </c>
      <c r="G4" s="1">
        <v>10.199999999999999</v>
      </c>
      <c r="H4" s="1">
        <v>11.3</v>
      </c>
      <c r="I4" s="1">
        <v>13.1</v>
      </c>
      <c r="J4" s="1">
        <v>40</v>
      </c>
      <c r="K4" s="1">
        <v>44.2</v>
      </c>
      <c r="L4" s="1">
        <v>47.1</v>
      </c>
      <c r="M4" s="1" t="s">
        <v>86</v>
      </c>
      <c r="N4" s="1">
        <v>36.200000000000003</v>
      </c>
      <c r="O4" s="1">
        <v>39.700000000000003</v>
      </c>
      <c r="P4" s="1">
        <v>10.9</v>
      </c>
    </row>
    <row r="5" spans="1:16">
      <c r="A5" t="s">
        <v>3</v>
      </c>
      <c r="B5" s="1">
        <v>39.200000000000003</v>
      </c>
      <c r="C5" s="1">
        <v>93.1</v>
      </c>
      <c r="D5" s="1">
        <v>68.599999999999994</v>
      </c>
      <c r="E5" s="1">
        <v>35.200000000000003</v>
      </c>
      <c r="F5" s="1">
        <v>55.3</v>
      </c>
      <c r="G5" s="1">
        <v>7.8</v>
      </c>
      <c r="H5" s="1">
        <v>10.6</v>
      </c>
      <c r="I5" s="1">
        <v>12.4</v>
      </c>
      <c r="J5" s="1">
        <v>33.299999999999997</v>
      </c>
      <c r="K5" s="1">
        <v>35.4</v>
      </c>
      <c r="L5" s="1">
        <v>53.4</v>
      </c>
      <c r="M5" s="1" t="s">
        <v>86</v>
      </c>
      <c r="N5" s="1">
        <v>41.1</v>
      </c>
      <c r="O5" s="1">
        <v>44.1</v>
      </c>
      <c r="P5" s="1">
        <v>19.7</v>
      </c>
    </row>
    <row r="6" spans="1:16">
      <c r="A6" t="s">
        <v>4</v>
      </c>
      <c r="B6" s="1">
        <v>30.6</v>
      </c>
      <c r="C6" s="1">
        <v>94.6</v>
      </c>
      <c r="D6" s="1">
        <v>72.900000000000006</v>
      </c>
      <c r="E6" s="1">
        <v>28.5</v>
      </c>
      <c r="F6" s="1">
        <v>40.1</v>
      </c>
      <c r="G6" s="1">
        <v>12.3</v>
      </c>
      <c r="H6" s="1">
        <v>8.8000000000000007</v>
      </c>
      <c r="I6" s="1">
        <v>15.1</v>
      </c>
      <c r="J6" s="1">
        <v>45.5</v>
      </c>
      <c r="K6" s="1">
        <v>42.2</v>
      </c>
      <c r="L6" s="1">
        <v>52.5</v>
      </c>
      <c r="M6" s="1" t="s">
        <v>86</v>
      </c>
      <c r="N6" s="1">
        <v>43.2</v>
      </c>
      <c r="O6" s="1">
        <v>52.6</v>
      </c>
      <c r="P6" s="1">
        <v>29.3</v>
      </c>
    </row>
    <row r="7" spans="1:16">
      <c r="A7" t="s">
        <v>5</v>
      </c>
      <c r="B7" t="s">
        <v>86</v>
      </c>
      <c r="C7" s="1">
        <v>93.6</v>
      </c>
      <c r="D7" s="1">
        <v>70.599999999999994</v>
      </c>
      <c r="E7" s="1">
        <v>23</v>
      </c>
      <c r="F7" s="1">
        <v>20.7</v>
      </c>
      <c r="G7" s="1">
        <v>16.2</v>
      </c>
      <c r="H7" s="1">
        <v>8</v>
      </c>
      <c r="I7" s="1">
        <v>13</v>
      </c>
      <c r="J7" s="1">
        <v>32</v>
      </c>
      <c r="K7" s="1">
        <v>30.9</v>
      </c>
      <c r="L7" s="1">
        <v>48</v>
      </c>
      <c r="M7" s="1" t="s">
        <v>86</v>
      </c>
      <c r="N7" s="1">
        <v>39.6</v>
      </c>
      <c r="O7" s="1">
        <v>52.5</v>
      </c>
      <c r="P7" s="1">
        <v>27</v>
      </c>
    </row>
    <row r="8" spans="1:16">
      <c r="A8" t="s">
        <v>6</v>
      </c>
      <c r="B8" s="1">
        <v>40.4</v>
      </c>
      <c r="C8" s="1">
        <v>95.8</v>
      </c>
      <c r="D8" s="1">
        <v>75.3</v>
      </c>
      <c r="E8" s="1">
        <v>34.1</v>
      </c>
      <c r="F8" s="1">
        <v>56.7</v>
      </c>
      <c r="G8" s="1">
        <v>8.1999999999999993</v>
      </c>
      <c r="H8" s="1">
        <v>9.6999999999999993</v>
      </c>
      <c r="I8" s="1">
        <v>17.100000000000001</v>
      </c>
      <c r="J8" s="1">
        <v>33</v>
      </c>
      <c r="K8" s="1">
        <v>33.299999999999997</v>
      </c>
      <c r="L8" s="1">
        <v>56.8</v>
      </c>
      <c r="M8" s="1" t="s">
        <v>86</v>
      </c>
      <c r="N8" s="1">
        <v>46.6</v>
      </c>
      <c r="O8" s="1">
        <v>52.7</v>
      </c>
      <c r="P8" s="1">
        <v>31.6</v>
      </c>
    </row>
    <row r="9" spans="1:16">
      <c r="A9" t="s">
        <v>7</v>
      </c>
      <c r="B9" s="1">
        <v>36.4</v>
      </c>
      <c r="C9" s="1">
        <v>94</v>
      </c>
      <c r="D9" s="1">
        <v>68.099999999999994</v>
      </c>
      <c r="E9" s="1">
        <v>32.9</v>
      </c>
      <c r="F9" s="1">
        <v>53.6</v>
      </c>
      <c r="G9" s="1">
        <v>9.8000000000000007</v>
      </c>
      <c r="H9" s="1">
        <v>10.5</v>
      </c>
      <c r="I9" s="1">
        <v>13.4</v>
      </c>
      <c r="J9" s="1">
        <v>33.9</v>
      </c>
      <c r="K9" s="1">
        <v>35.6</v>
      </c>
      <c r="L9" s="1">
        <v>50.1</v>
      </c>
      <c r="M9" s="1" t="s">
        <v>86</v>
      </c>
      <c r="N9" s="1">
        <v>39.700000000000003</v>
      </c>
      <c r="O9" s="1">
        <v>41</v>
      </c>
      <c r="P9" s="1">
        <v>15.3</v>
      </c>
    </row>
    <row r="10" spans="1:16">
      <c r="A10" t="s">
        <v>8</v>
      </c>
      <c r="B10" s="1">
        <v>32.200000000000003</v>
      </c>
      <c r="C10" s="1">
        <v>95</v>
      </c>
      <c r="D10" s="1">
        <v>72.7</v>
      </c>
      <c r="E10" s="1">
        <v>31.6</v>
      </c>
      <c r="F10" s="1">
        <v>57.3</v>
      </c>
      <c r="G10" s="1">
        <v>6.6</v>
      </c>
      <c r="H10" s="1">
        <v>11</v>
      </c>
      <c r="I10" s="1">
        <v>15.2</v>
      </c>
      <c r="J10" s="1">
        <v>35.799999999999997</v>
      </c>
      <c r="K10" s="1">
        <v>38</v>
      </c>
      <c r="L10" s="1">
        <v>49.9</v>
      </c>
      <c r="M10" s="1" t="s">
        <v>86</v>
      </c>
      <c r="N10" s="1">
        <v>37.200000000000003</v>
      </c>
      <c r="O10" s="1">
        <v>49.1</v>
      </c>
      <c r="P10" s="1">
        <v>16.7</v>
      </c>
    </row>
    <row r="11" spans="1:16">
      <c r="A11" t="s">
        <v>9</v>
      </c>
      <c r="B11" s="1">
        <v>49.7</v>
      </c>
      <c r="C11" s="1">
        <v>94</v>
      </c>
      <c r="D11" s="1">
        <v>69.900000000000006</v>
      </c>
      <c r="E11" s="1">
        <v>32.9</v>
      </c>
      <c r="F11" s="1">
        <v>55.6</v>
      </c>
      <c r="G11" s="1">
        <v>7.3</v>
      </c>
      <c r="H11" s="1">
        <v>11</v>
      </c>
      <c r="I11" s="1">
        <v>13.8</v>
      </c>
      <c r="J11" s="1">
        <v>37</v>
      </c>
      <c r="K11" s="1">
        <v>39.4</v>
      </c>
      <c r="L11" s="1">
        <v>51.5</v>
      </c>
      <c r="M11" s="1" t="s">
        <v>86</v>
      </c>
      <c r="N11" s="1">
        <v>38.5</v>
      </c>
      <c r="O11" s="1">
        <v>42.1</v>
      </c>
      <c r="P11" s="1">
        <v>17.100000000000001</v>
      </c>
    </row>
    <row r="12" spans="1:16">
      <c r="A12" t="s">
        <v>10</v>
      </c>
      <c r="B12" s="1">
        <v>39.9</v>
      </c>
      <c r="C12" s="1">
        <v>95</v>
      </c>
      <c r="D12" s="1">
        <v>66.400000000000006</v>
      </c>
      <c r="E12" s="1">
        <v>31.3</v>
      </c>
      <c r="F12" s="1">
        <v>56</v>
      </c>
      <c r="G12" s="1">
        <v>9.3000000000000007</v>
      </c>
      <c r="H12" s="1">
        <v>11</v>
      </c>
      <c r="I12" s="1">
        <v>12.7</v>
      </c>
      <c r="J12" s="1">
        <v>29.9</v>
      </c>
      <c r="K12" s="1">
        <v>35.799999999999997</v>
      </c>
      <c r="L12" s="1">
        <v>48.5</v>
      </c>
      <c r="M12" s="1" t="s">
        <v>86</v>
      </c>
      <c r="N12" s="1">
        <v>37.6</v>
      </c>
      <c r="O12" s="1">
        <v>39.5</v>
      </c>
      <c r="P12" s="1">
        <v>14.1</v>
      </c>
    </row>
    <row r="13" spans="1:16">
      <c r="A13" t="s">
        <v>11</v>
      </c>
      <c r="B13" s="1">
        <v>40.5</v>
      </c>
      <c r="C13" s="1">
        <v>97.1</v>
      </c>
      <c r="D13" s="1">
        <v>73.7</v>
      </c>
      <c r="E13" s="1">
        <v>34.4</v>
      </c>
      <c r="F13" s="1">
        <v>61.1</v>
      </c>
      <c r="G13" s="1">
        <v>5.6</v>
      </c>
      <c r="H13" s="1">
        <v>10.5</v>
      </c>
      <c r="I13" s="1">
        <v>13.8</v>
      </c>
      <c r="J13" s="1">
        <v>32</v>
      </c>
      <c r="K13" s="1">
        <v>35.6</v>
      </c>
      <c r="L13" s="1">
        <v>47.4</v>
      </c>
      <c r="M13" s="1" t="s">
        <v>86</v>
      </c>
      <c r="N13" s="1">
        <v>34.299999999999997</v>
      </c>
      <c r="O13" s="1">
        <v>33.5</v>
      </c>
      <c r="P13" s="1">
        <v>12.5</v>
      </c>
    </row>
    <row r="14" spans="1:16">
      <c r="A14" t="s">
        <v>12</v>
      </c>
      <c r="B14" s="1">
        <v>38.6</v>
      </c>
      <c r="C14" s="1">
        <v>95.9</v>
      </c>
      <c r="D14" s="1">
        <v>67.2</v>
      </c>
      <c r="E14" s="1">
        <v>34.799999999999997</v>
      </c>
      <c r="F14" s="1">
        <v>59.1</v>
      </c>
      <c r="G14" s="1">
        <v>6.1</v>
      </c>
      <c r="H14" s="1">
        <v>10.6</v>
      </c>
      <c r="I14" s="1">
        <v>10.5</v>
      </c>
      <c r="J14" s="1">
        <v>36.299999999999997</v>
      </c>
      <c r="K14" s="1">
        <v>44.9</v>
      </c>
      <c r="L14" s="1">
        <v>48.8</v>
      </c>
      <c r="M14" s="1" t="s">
        <v>86</v>
      </c>
      <c r="N14" s="1">
        <v>33.1</v>
      </c>
      <c r="O14" s="1">
        <v>35.700000000000003</v>
      </c>
      <c r="P14" s="1">
        <v>11.7</v>
      </c>
    </row>
    <row r="15" spans="1:16">
      <c r="A15" t="s">
        <v>13</v>
      </c>
      <c r="B15" s="1">
        <v>38.6</v>
      </c>
      <c r="C15" s="1">
        <v>89</v>
      </c>
      <c r="D15" s="1">
        <v>74</v>
      </c>
      <c r="E15" s="1">
        <v>38.4</v>
      </c>
      <c r="F15" s="1">
        <v>57.6</v>
      </c>
      <c r="G15" s="1">
        <v>6.1</v>
      </c>
      <c r="H15" s="1">
        <v>13.7</v>
      </c>
      <c r="I15" s="1">
        <v>14.2</v>
      </c>
      <c r="J15" s="1">
        <v>35.700000000000003</v>
      </c>
      <c r="K15" s="1">
        <v>42.1</v>
      </c>
      <c r="L15" s="1">
        <v>51.5</v>
      </c>
      <c r="M15" s="1" t="s">
        <v>86</v>
      </c>
      <c r="N15" s="1">
        <v>40.6</v>
      </c>
      <c r="O15" s="1">
        <v>36.700000000000003</v>
      </c>
      <c r="P15" s="1">
        <v>9.4</v>
      </c>
    </row>
    <row r="16" spans="1:16">
      <c r="A16" t="s">
        <v>14</v>
      </c>
      <c r="B16" s="1">
        <v>32.5</v>
      </c>
      <c r="C16" s="1">
        <v>98</v>
      </c>
      <c r="D16" s="1">
        <v>71.2</v>
      </c>
      <c r="E16" s="1">
        <v>29.1</v>
      </c>
      <c r="F16" s="1">
        <v>62.3</v>
      </c>
      <c r="G16" s="1">
        <v>9.1</v>
      </c>
      <c r="H16" s="1">
        <v>15.2</v>
      </c>
      <c r="I16" s="1">
        <v>9.9</v>
      </c>
      <c r="J16" s="1">
        <v>35.299999999999997</v>
      </c>
      <c r="K16" s="1">
        <v>44.8</v>
      </c>
      <c r="L16" s="1">
        <v>45.1</v>
      </c>
      <c r="M16" s="1" t="s">
        <v>86</v>
      </c>
      <c r="N16" s="1">
        <v>30.9</v>
      </c>
      <c r="O16" s="1">
        <v>32.200000000000003</v>
      </c>
      <c r="P16" s="1">
        <v>8.1</v>
      </c>
    </row>
    <row r="17" spans="1:16">
      <c r="A17" t="s">
        <v>15</v>
      </c>
      <c r="B17" s="1">
        <v>42.8</v>
      </c>
      <c r="C17" s="1">
        <v>95.1</v>
      </c>
      <c r="D17" s="1">
        <v>65.900000000000006</v>
      </c>
      <c r="E17" s="1">
        <v>30.9</v>
      </c>
      <c r="F17" s="1">
        <v>58.6</v>
      </c>
      <c r="G17" s="1">
        <v>7.6</v>
      </c>
      <c r="H17" s="1">
        <v>18.100000000000001</v>
      </c>
      <c r="I17" s="1">
        <v>11.3</v>
      </c>
      <c r="J17" s="1">
        <v>46.1</v>
      </c>
      <c r="K17" s="1">
        <v>57.7</v>
      </c>
      <c r="L17" s="1">
        <v>40.6</v>
      </c>
      <c r="M17" s="1" t="s">
        <v>86</v>
      </c>
      <c r="N17" s="1">
        <v>29.6</v>
      </c>
      <c r="O17" s="1">
        <v>28.2</v>
      </c>
      <c r="P17" s="1">
        <v>5.2</v>
      </c>
    </row>
    <row r="18" spans="1:16">
      <c r="A18" t="s">
        <v>16</v>
      </c>
      <c r="B18" s="1">
        <v>23.9</v>
      </c>
      <c r="C18" s="1">
        <v>98.6</v>
      </c>
      <c r="D18" s="1">
        <v>56.8</v>
      </c>
      <c r="E18" s="1">
        <v>26.6</v>
      </c>
      <c r="F18" s="1">
        <v>38.9</v>
      </c>
      <c r="G18" s="1">
        <v>16</v>
      </c>
      <c r="H18" s="1">
        <v>26.9</v>
      </c>
      <c r="I18" s="1">
        <v>8.3000000000000007</v>
      </c>
      <c r="J18" s="1">
        <v>41.3</v>
      </c>
      <c r="K18" s="1">
        <v>49.6</v>
      </c>
      <c r="L18" s="1">
        <v>32.5</v>
      </c>
      <c r="M18" s="1" t="s">
        <v>86</v>
      </c>
      <c r="N18" s="1">
        <v>30.6</v>
      </c>
      <c r="O18" s="1">
        <v>21.4</v>
      </c>
      <c r="P18" s="1">
        <v>5.0999999999999996</v>
      </c>
    </row>
    <row r="19" spans="1:16">
      <c r="A19" t="s">
        <v>17</v>
      </c>
      <c r="B19" s="1">
        <v>27.1</v>
      </c>
      <c r="C19" s="1">
        <v>97.7</v>
      </c>
      <c r="D19" s="1">
        <v>55.7</v>
      </c>
      <c r="E19" s="1">
        <v>22.8</v>
      </c>
      <c r="F19" s="1">
        <v>53.6</v>
      </c>
      <c r="G19" s="1">
        <v>12.8</v>
      </c>
      <c r="H19" s="1">
        <v>22.2</v>
      </c>
      <c r="I19" s="1">
        <v>8.5</v>
      </c>
      <c r="J19" s="1">
        <v>39.200000000000003</v>
      </c>
      <c r="K19" s="1">
        <v>49</v>
      </c>
      <c r="L19" s="1">
        <v>38.9</v>
      </c>
      <c r="M19" s="1" t="s">
        <v>86</v>
      </c>
      <c r="N19" s="1">
        <v>28</v>
      </c>
      <c r="O19" s="1">
        <v>24.4</v>
      </c>
      <c r="P19" s="1">
        <v>6.1</v>
      </c>
    </row>
    <row r="20" spans="1:16">
      <c r="A20" t="s">
        <v>18</v>
      </c>
      <c r="B20" s="1">
        <v>27.5</v>
      </c>
      <c r="C20" s="1">
        <v>96.9</v>
      </c>
      <c r="D20" s="1">
        <v>65.3</v>
      </c>
      <c r="E20" s="1">
        <v>27.8</v>
      </c>
      <c r="F20" s="1">
        <v>57.1</v>
      </c>
      <c r="G20" s="1">
        <v>8.6</v>
      </c>
      <c r="H20" s="1">
        <v>16.899999999999999</v>
      </c>
      <c r="I20" s="1">
        <v>10.3</v>
      </c>
      <c r="J20" s="1">
        <v>49.4</v>
      </c>
      <c r="K20" s="1">
        <v>60.7</v>
      </c>
      <c r="L20" s="1">
        <v>35.299999999999997</v>
      </c>
      <c r="M20" s="1" t="s">
        <v>86</v>
      </c>
      <c r="N20" s="1">
        <v>25.5</v>
      </c>
      <c r="O20" s="1">
        <v>22.3</v>
      </c>
      <c r="P20" s="1">
        <v>7.8</v>
      </c>
    </row>
    <row r="21" spans="1:16">
      <c r="A21" t="s">
        <v>19</v>
      </c>
      <c r="B21" s="1">
        <v>22.8</v>
      </c>
      <c r="C21" s="1">
        <v>97</v>
      </c>
      <c r="D21" s="1">
        <v>61.1</v>
      </c>
      <c r="E21" s="1">
        <v>27.6</v>
      </c>
      <c r="F21" s="1">
        <v>55.2</v>
      </c>
      <c r="G21" s="1">
        <v>11.8</v>
      </c>
      <c r="H21" s="1">
        <v>27.2</v>
      </c>
      <c r="I21" s="1">
        <v>7.8</v>
      </c>
      <c r="J21" s="1">
        <v>50.2</v>
      </c>
      <c r="K21" s="1">
        <v>61.4</v>
      </c>
      <c r="L21" s="1">
        <v>32.200000000000003</v>
      </c>
      <c r="M21" s="1" t="s">
        <v>86</v>
      </c>
      <c r="N21" s="1">
        <v>24.9</v>
      </c>
      <c r="O21" s="1">
        <v>22.8</v>
      </c>
      <c r="P21" s="1">
        <v>6</v>
      </c>
    </row>
    <row r="22" spans="1:16">
      <c r="A22" t="s">
        <v>20</v>
      </c>
      <c r="B22" s="1">
        <v>27.6</v>
      </c>
      <c r="C22" s="1">
        <v>95</v>
      </c>
      <c r="D22" s="1">
        <v>54.9</v>
      </c>
      <c r="E22" s="1">
        <v>21.8</v>
      </c>
      <c r="F22" s="1">
        <v>50.7</v>
      </c>
      <c r="G22" s="1">
        <v>17.100000000000001</v>
      </c>
      <c r="H22" s="1">
        <v>27.9</v>
      </c>
      <c r="I22" s="1">
        <v>7</v>
      </c>
      <c r="J22" s="1">
        <v>45.9</v>
      </c>
      <c r="K22" s="1">
        <v>58.1</v>
      </c>
      <c r="L22" s="1">
        <v>34.5</v>
      </c>
      <c r="M22" s="1" t="s">
        <v>86</v>
      </c>
      <c r="N22" s="1">
        <v>24.7</v>
      </c>
      <c r="O22" s="1">
        <v>21.9</v>
      </c>
      <c r="P22" s="1">
        <v>5.5</v>
      </c>
    </row>
    <row r="23" spans="1:16">
      <c r="A23" t="s">
        <v>21</v>
      </c>
      <c r="B23" s="1">
        <v>45.7</v>
      </c>
      <c r="C23" s="1">
        <v>96.9</v>
      </c>
      <c r="D23" s="1">
        <v>55</v>
      </c>
      <c r="E23" s="1">
        <v>27</v>
      </c>
      <c r="F23" s="1">
        <v>51.7</v>
      </c>
      <c r="G23" s="1">
        <v>17.3</v>
      </c>
      <c r="H23" s="1">
        <v>19.600000000000001</v>
      </c>
      <c r="I23" s="1">
        <v>14.1</v>
      </c>
      <c r="J23" s="1">
        <v>34.5</v>
      </c>
      <c r="K23" s="1">
        <v>36.5</v>
      </c>
      <c r="L23" s="1">
        <v>43.3</v>
      </c>
      <c r="M23" s="1" t="s">
        <v>86</v>
      </c>
      <c r="N23" s="1">
        <v>32.6</v>
      </c>
      <c r="O23" s="1">
        <v>38</v>
      </c>
      <c r="P23" s="1">
        <v>11.2</v>
      </c>
    </row>
    <row r="24" spans="1:16">
      <c r="A24" t="s">
        <v>22</v>
      </c>
      <c r="B24" s="1">
        <v>39.299999999999997</v>
      </c>
      <c r="C24" s="1">
        <v>93.9</v>
      </c>
      <c r="D24" s="1">
        <v>68.900000000000006</v>
      </c>
      <c r="E24" s="1">
        <v>32.9</v>
      </c>
      <c r="F24" s="1">
        <v>54.5</v>
      </c>
      <c r="G24" s="1">
        <v>8.5</v>
      </c>
      <c r="H24" s="1">
        <v>10.8</v>
      </c>
      <c r="I24" s="1">
        <v>13</v>
      </c>
      <c r="J24" s="1">
        <v>34.6</v>
      </c>
      <c r="K24" s="1">
        <v>37.200000000000003</v>
      </c>
      <c r="L24" s="1">
        <v>51.3</v>
      </c>
      <c r="M24" s="1" t="s">
        <v>86</v>
      </c>
      <c r="N24" s="1">
        <v>39.1</v>
      </c>
      <c r="O24" s="1">
        <v>42.8</v>
      </c>
      <c r="P24" s="1">
        <v>17.3</v>
      </c>
    </row>
    <row r="25" spans="1:16">
      <c r="A25" t="s">
        <v>23</v>
      </c>
      <c r="B25" s="1">
        <v>38.299999999999997</v>
      </c>
      <c r="C25" s="1">
        <v>93.8</v>
      </c>
      <c r="D25" s="1">
        <v>68.3</v>
      </c>
      <c r="E25" s="1">
        <v>33.4</v>
      </c>
      <c r="F25" s="1">
        <v>55.4</v>
      </c>
      <c r="G25" s="1">
        <v>8.3000000000000007</v>
      </c>
      <c r="H25" s="1">
        <v>11</v>
      </c>
      <c r="I25" s="1">
        <v>12.3</v>
      </c>
      <c r="J25" s="1">
        <v>34.299999999999997</v>
      </c>
      <c r="K25" s="1">
        <v>35.6</v>
      </c>
      <c r="L25" s="1">
        <v>51.7</v>
      </c>
      <c r="M25" s="1" t="s">
        <v>86</v>
      </c>
      <c r="N25" s="1">
        <v>39</v>
      </c>
      <c r="O25" s="1">
        <v>42.4</v>
      </c>
      <c r="P25" s="1">
        <v>17.2</v>
      </c>
    </row>
    <row r="26" spans="1:16">
      <c r="A26" t="s">
        <v>24</v>
      </c>
      <c r="B26" s="1">
        <v>40.6</v>
      </c>
      <c r="C26" s="1">
        <v>94.1</v>
      </c>
      <c r="D26" s="1">
        <v>69.7</v>
      </c>
      <c r="E26" s="1">
        <v>32.299999999999997</v>
      </c>
      <c r="F26" s="1">
        <v>53.5</v>
      </c>
      <c r="G26" s="1">
        <v>8.8000000000000007</v>
      </c>
      <c r="H26" s="1">
        <v>10.6</v>
      </c>
      <c r="I26" s="1">
        <v>13.9</v>
      </c>
      <c r="J26" s="1">
        <v>35.5</v>
      </c>
      <c r="K26" s="1">
        <v>41.4</v>
      </c>
      <c r="L26" s="1">
        <v>50.8</v>
      </c>
      <c r="M26" s="1" t="s">
        <v>86</v>
      </c>
      <c r="N26" s="1">
        <v>39.299999999999997</v>
      </c>
      <c r="O26" s="1">
        <v>43.3</v>
      </c>
      <c r="P26" s="1">
        <v>17.399999999999999</v>
      </c>
    </row>
    <row r="27" spans="1:16">
      <c r="A27" t="s">
        <v>25</v>
      </c>
      <c r="B27" s="1">
        <v>39.1</v>
      </c>
      <c r="C27" s="1">
        <v>92.2</v>
      </c>
      <c r="D27" s="1">
        <v>70.8</v>
      </c>
      <c r="E27" s="1">
        <v>35.5</v>
      </c>
      <c r="F27" s="1">
        <v>57.6</v>
      </c>
      <c r="G27" s="1">
        <v>7</v>
      </c>
      <c r="H27" s="1">
        <v>12.3</v>
      </c>
      <c r="I27" s="1">
        <v>13.3</v>
      </c>
      <c r="J27" s="1">
        <v>45.6</v>
      </c>
      <c r="K27" s="1">
        <v>56</v>
      </c>
      <c r="L27" s="1">
        <v>49.9</v>
      </c>
      <c r="M27" s="1" t="s">
        <v>86</v>
      </c>
      <c r="N27" s="1">
        <v>38.200000000000003</v>
      </c>
      <c r="O27" s="1">
        <v>37.200000000000003</v>
      </c>
      <c r="P27" s="1">
        <v>11.4</v>
      </c>
    </row>
    <row r="28" spans="1:16">
      <c r="A28" t="s">
        <v>26</v>
      </c>
      <c r="B28" s="1">
        <v>27.5</v>
      </c>
      <c r="C28" s="1">
        <v>97.2</v>
      </c>
      <c r="D28" s="1">
        <v>57.7</v>
      </c>
      <c r="E28" s="1">
        <v>25.1</v>
      </c>
      <c r="F28" s="1">
        <v>47.9</v>
      </c>
      <c r="G28" s="1">
        <v>14.6</v>
      </c>
      <c r="H28" s="1">
        <v>24.7</v>
      </c>
      <c r="I28" s="1">
        <v>8.6999999999999993</v>
      </c>
      <c r="J28" s="1">
        <v>43.9</v>
      </c>
      <c r="K28" s="1">
        <v>53.9</v>
      </c>
      <c r="L28" s="1">
        <v>36.1</v>
      </c>
      <c r="M28" s="1" t="s">
        <v>86</v>
      </c>
      <c r="N28" s="1">
        <v>28.2</v>
      </c>
      <c r="O28" s="1">
        <v>24.4</v>
      </c>
      <c r="P28" s="1">
        <v>6.2</v>
      </c>
    </row>
    <row r="29" spans="1:16">
      <c r="A29" t="s">
        <v>27</v>
      </c>
      <c r="B29" s="1">
        <v>25.7</v>
      </c>
      <c r="C29" s="1">
        <v>98</v>
      </c>
      <c r="D29" s="1">
        <v>59</v>
      </c>
      <c r="E29" s="1">
        <v>26</v>
      </c>
      <c r="F29" s="1">
        <v>46.7</v>
      </c>
      <c r="G29" s="1">
        <v>13.5</v>
      </c>
      <c r="H29" s="1">
        <v>24.1</v>
      </c>
      <c r="I29" s="1">
        <v>8.6</v>
      </c>
      <c r="J29" s="1">
        <v>49.2</v>
      </c>
      <c r="K29" s="1">
        <v>60.7</v>
      </c>
      <c r="L29" s="1">
        <v>35.799999999999997</v>
      </c>
      <c r="M29" s="1" t="s">
        <v>86</v>
      </c>
      <c r="N29" s="1">
        <v>28.9</v>
      </c>
      <c r="O29" s="1">
        <v>23.7</v>
      </c>
      <c r="P29" s="1">
        <v>5.9</v>
      </c>
    </row>
    <row r="30" spans="1:16">
      <c r="A30" t="s">
        <v>28</v>
      </c>
      <c r="B30" s="1">
        <v>31.2</v>
      </c>
      <c r="C30" s="1">
        <v>95.4</v>
      </c>
      <c r="D30" s="1">
        <v>55</v>
      </c>
      <c r="E30" s="1">
        <v>22.9</v>
      </c>
      <c r="F30" s="1">
        <v>50.9</v>
      </c>
      <c r="G30" s="1">
        <v>17.2</v>
      </c>
      <c r="H30" s="1">
        <v>26.1</v>
      </c>
      <c r="I30" s="1">
        <v>8.8000000000000007</v>
      </c>
      <c r="J30" s="1">
        <v>38.5</v>
      </c>
      <c r="K30" s="1">
        <v>44.2</v>
      </c>
      <c r="L30" s="1">
        <v>36.700000000000003</v>
      </c>
      <c r="M30" s="1" t="s">
        <v>86</v>
      </c>
      <c r="N30" s="1">
        <v>26.6</v>
      </c>
      <c r="O30" s="1">
        <v>25.9</v>
      </c>
      <c r="P30" s="1">
        <v>6.9</v>
      </c>
    </row>
    <row r="31" spans="1:16">
      <c r="A31" t="s">
        <v>29</v>
      </c>
      <c r="B31" s="1">
        <v>35.200000000000003</v>
      </c>
      <c r="C31" s="1">
        <v>94.7</v>
      </c>
      <c r="D31" s="1">
        <v>65.5</v>
      </c>
      <c r="E31" s="1">
        <v>30.6</v>
      </c>
      <c r="F31" s="1">
        <v>52.4</v>
      </c>
      <c r="G31" s="1">
        <v>10.5</v>
      </c>
      <c r="H31" s="1">
        <v>16.100000000000001</v>
      </c>
      <c r="I31" s="1">
        <v>11.6</v>
      </c>
      <c r="J31" s="1">
        <v>38.6</v>
      </c>
      <c r="K31" s="1">
        <v>43.6</v>
      </c>
      <c r="L31" s="1">
        <v>45.9</v>
      </c>
      <c r="M31" s="1" t="s">
        <v>86</v>
      </c>
      <c r="N31" s="1">
        <v>35.200000000000003</v>
      </c>
      <c r="O31" s="1">
        <v>35.5</v>
      </c>
      <c r="P31" s="1">
        <v>12.4</v>
      </c>
    </row>
    <row r="35" spans="1:3">
      <c r="A35" t="s">
        <v>138</v>
      </c>
      <c r="C35" t="s">
        <v>5</v>
      </c>
    </row>
    <row r="36" spans="1:3">
      <c r="C36">
        <f>(2*B6)-B8</f>
        <v>20.800000000000004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B239-B4CF-EA48-BD4B-37376847FB88}">
  <dimension ref="A1:AI436"/>
  <sheetViews>
    <sheetView topLeftCell="A307" zoomScale="98" zoomScaleNormal="95" workbookViewId="0">
      <selection activeCell="J335" sqref="J335"/>
    </sheetView>
  </sheetViews>
  <sheetFormatPr baseColWidth="10" defaultRowHeight="15"/>
  <cols>
    <col min="14" max="14" width="12.1640625" customWidth="1"/>
  </cols>
  <sheetData>
    <row r="1" spans="1:11">
      <c r="A1" t="s">
        <v>84</v>
      </c>
      <c r="B1" t="s">
        <v>32</v>
      </c>
      <c r="C1" t="s">
        <v>43</v>
      </c>
      <c r="D1" t="s">
        <v>45</v>
      </c>
      <c r="E1" t="s">
        <v>49</v>
      </c>
      <c r="F1" t="s">
        <v>50</v>
      </c>
      <c r="G1" t="s">
        <v>46</v>
      </c>
      <c r="H1" t="s">
        <v>37</v>
      </c>
    </row>
    <row r="2" spans="1:11">
      <c r="A2" t="s">
        <v>0</v>
      </c>
      <c r="B2">
        <v>39.799999999999997</v>
      </c>
      <c r="C2">
        <v>36.1</v>
      </c>
      <c r="D2">
        <v>39.5</v>
      </c>
      <c r="E2">
        <v>35.1</v>
      </c>
      <c r="F2">
        <v>39.4</v>
      </c>
      <c r="G2">
        <v>49.4</v>
      </c>
      <c r="H2">
        <v>29.5</v>
      </c>
      <c r="K2" t="s">
        <v>210</v>
      </c>
    </row>
    <row r="3" spans="1:11">
      <c r="A3" t="s">
        <v>1</v>
      </c>
      <c r="B3">
        <v>42</v>
      </c>
      <c r="C3">
        <v>29.9</v>
      </c>
      <c r="D3">
        <v>36</v>
      </c>
      <c r="E3">
        <v>36.200000000000003</v>
      </c>
      <c r="F3">
        <v>47.3</v>
      </c>
      <c r="G3">
        <v>47.7</v>
      </c>
      <c r="H3">
        <v>32.5</v>
      </c>
      <c r="K3" t="s">
        <v>212</v>
      </c>
    </row>
    <row r="4" spans="1:11">
      <c r="A4" t="s">
        <v>2</v>
      </c>
      <c r="B4">
        <v>26.3</v>
      </c>
      <c r="C4">
        <v>40</v>
      </c>
      <c r="D4">
        <v>44.2</v>
      </c>
      <c r="E4">
        <v>36.200000000000003</v>
      </c>
      <c r="F4">
        <v>39.700000000000003</v>
      </c>
      <c r="G4">
        <v>47.1</v>
      </c>
      <c r="H4">
        <v>31.2</v>
      </c>
      <c r="K4" t="s">
        <v>213</v>
      </c>
    </row>
    <row r="5" spans="1:11" ht="18">
      <c r="A5" t="s">
        <v>3</v>
      </c>
      <c r="B5">
        <v>39.200000000000003</v>
      </c>
      <c r="C5">
        <v>33.299999999999997</v>
      </c>
      <c r="D5">
        <v>35.4</v>
      </c>
      <c r="E5">
        <v>41.1</v>
      </c>
      <c r="F5">
        <v>44.1</v>
      </c>
      <c r="G5">
        <v>53.4</v>
      </c>
      <c r="H5">
        <v>35.200000000000003</v>
      </c>
      <c r="K5" s="45"/>
    </row>
    <row r="6" spans="1:11">
      <c r="A6" t="s">
        <v>4</v>
      </c>
      <c r="B6">
        <v>30.6</v>
      </c>
      <c r="C6">
        <v>45.5</v>
      </c>
      <c r="D6">
        <v>42.2</v>
      </c>
      <c r="E6">
        <v>43.2</v>
      </c>
      <c r="F6">
        <v>52.6</v>
      </c>
      <c r="G6">
        <v>52.5</v>
      </c>
      <c r="H6">
        <v>28.5</v>
      </c>
      <c r="K6" t="s">
        <v>211</v>
      </c>
    </row>
    <row r="7" spans="1:11">
      <c r="A7" t="s">
        <v>5</v>
      </c>
      <c r="B7">
        <v>20.8</v>
      </c>
      <c r="C7">
        <v>32</v>
      </c>
      <c r="D7">
        <v>30.9</v>
      </c>
      <c r="E7">
        <v>39.6</v>
      </c>
      <c r="F7">
        <v>52.5</v>
      </c>
      <c r="G7">
        <v>48</v>
      </c>
      <c r="H7">
        <v>23</v>
      </c>
      <c r="K7" t="s">
        <v>214</v>
      </c>
    </row>
    <row r="8" spans="1:11">
      <c r="A8" t="s">
        <v>6</v>
      </c>
      <c r="B8">
        <v>40.4</v>
      </c>
      <c r="C8">
        <v>33</v>
      </c>
      <c r="D8">
        <v>33.299999999999997</v>
      </c>
      <c r="E8">
        <v>46.6</v>
      </c>
      <c r="F8">
        <v>52.7</v>
      </c>
      <c r="G8">
        <v>56.8</v>
      </c>
      <c r="H8">
        <v>34.1</v>
      </c>
    </row>
    <row r="9" spans="1:11">
      <c r="A9" t="s">
        <v>7</v>
      </c>
      <c r="B9">
        <v>36.4</v>
      </c>
      <c r="C9">
        <v>33.9</v>
      </c>
      <c r="D9">
        <v>35.6</v>
      </c>
      <c r="E9">
        <v>39.700000000000003</v>
      </c>
      <c r="F9">
        <v>41</v>
      </c>
      <c r="G9">
        <v>50.1</v>
      </c>
      <c r="H9">
        <v>32.9</v>
      </c>
    </row>
    <row r="10" spans="1:11">
      <c r="A10" t="s">
        <v>8</v>
      </c>
      <c r="B10">
        <v>32.200000000000003</v>
      </c>
      <c r="C10">
        <v>35.799999999999997</v>
      </c>
      <c r="D10">
        <v>38</v>
      </c>
      <c r="E10">
        <v>37.200000000000003</v>
      </c>
      <c r="F10">
        <v>49.1</v>
      </c>
      <c r="G10">
        <v>49.9</v>
      </c>
      <c r="H10">
        <v>31.6</v>
      </c>
    </row>
    <row r="11" spans="1:11">
      <c r="A11" t="s">
        <v>9</v>
      </c>
      <c r="B11">
        <v>49.7</v>
      </c>
      <c r="C11">
        <v>37</v>
      </c>
      <c r="D11">
        <v>39.4</v>
      </c>
      <c r="E11">
        <v>38.5</v>
      </c>
      <c r="F11">
        <v>42.1</v>
      </c>
      <c r="G11">
        <v>51.5</v>
      </c>
      <c r="H11">
        <v>32.9</v>
      </c>
    </row>
    <row r="12" spans="1:11">
      <c r="A12" t="s">
        <v>10</v>
      </c>
      <c r="B12">
        <v>39.9</v>
      </c>
      <c r="C12">
        <v>29.9</v>
      </c>
      <c r="D12">
        <v>35.799999999999997</v>
      </c>
      <c r="E12">
        <v>37.6</v>
      </c>
      <c r="F12">
        <v>39.5</v>
      </c>
      <c r="G12">
        <v>48.5</v>
      </c>
      <c r="H12">
        <v>31.3</v>
      </c>
    </row>
    <row r="13" spans="1:11">
      <c r="A13" t="s">
        <v>11</v>
      </c>
      <c r="B13">
        <v>40.5</v>
      </c>
      <c r="C13">
        <v>32</v>
      </c>
      <c r="D13">
        <v>35.6</v>
      </c>
      <c r="E13">
        <v>34.299999999999997</v>
      </c>
      <c r="F13">
        <v>33.5</v>
      </c>
      <c r="G13">
        <v>47.4</v>
      </c>
      <c r="H13">
        <v>34.4</v>
      </c>
    </row>
    <row r="14" spans="1:11">
      <c r="A14" t="s">
        <v>12</v>
      </c>
      <c r="B14">
        <v>38.6</v>
      </c>
      <c r="C14">
        <v>36.299999999999997</v>
      </c>
      <c r="D14">
        <v>44.9</v>
      </c>
      <c r="E14">
        <v>33.1</v>
      </c>
      <c r="F14">
        <v>35.700000000000003</v>
      </c>
      <c r="G14">
        <v>48.8</v>
      </c>
      <c r="H14">
        <v>34.799999999999997</v>
      </c>
    </row>
    <row r="15" spans="1:11">
      <c r="A15" t="s">
        <v>13</v>
      </c>
      <c r="B15">
        <v>38.6</v>
      </c>
      <c r="C15">
        <v>35.700000000000003</v>
      </c>
      <c r="D15">
        <v>42.1</v>
      </c>
      <c r="E15">
        <v>40.6</v>
      </c>
      <c r="F15">
        <v>36.700000000000003</v>
      </c>
      <c r="G15">
        <v>51.5</v>
      </c>
      <c r="H15">
        <v>38.4</v>
      </c>
    </row>
    <row r="16" spans="1:11">
      <c r="A16" t="s">
        <v>14</v>
      </c>
      <c r="B16">
        <v>32.5</v>
      </c>
      <c r="C16">
        <v>35.299999999999997</v>
      </c>
      <c r="D16">
        <v>44.8</v>
      </c>
      <c r="E16">
        <v>30.9</v>
      </c>
      <c r="F16">
        <v>32.200000000000003</v>
      </c>
      <c r="G16">
        <v>45.1</v>
      </c>
      <c r="H16">
        <v>29.1</v>
      </c>
    </row>
    <row r="17" spans="1:22">
      <c r="A17" t="s">
        <v>15</v>
      </c>
      <c r="B17">
        <v>42.8</v>
      </c>
      <c r="C17">
        <v>46.1</v>
      </c>
      <c r="D17">
        <v>57.7</v>
      </c>
      <c r="E17">
        <v>29.6</v>
      </c>
      <c r="F17">
        <v>28.2</v>
      </c>
      <c r="G17">
        <v>40.6</v>
      </c>
      <c r="H17">
        <v>30.9</v>
      </c>
    </row>
    <row r="18" spans="1:22">
      <c r="A18" t="s">
        <v>16</v>
      </c>
      <c r="B18">
        <v>23.9</v>
      </c>
      <c r="C18">
        <v>41.3</v>
      </c>
      <c r="D18">
        <v>49.6</v>
      </c>
      <c r="E18">
        <v>30.6</v>
      </c>
      <c r="F18">
        <v>21.4</v>
      </c>
      <c r="G18">
        <v>32.5</v>
      </c>
      <c r="H18">
        <v>26.6</v>
      </c>
    </row>
    <row r="19" spans="1:22">
      <c r="A19" t="s">
        <v>17</v>
      </c>
      <c r="B19">
        <v>27.1</v>
      </c>
      <c r="C19">
        <v>39.200000000000003</v>
      </c>
      <c r="D19">
        <v>49</v>
      </c>
      <c r="E19">
        <v>28</v>
      </c>
      <c r="F19">
        <v>24.4</v>
      </c>
      <c r="G19">
        <v>38.9</v>
      </c>
      <c r="H19">
        <v>22.8</v>
      </c>
    </row>
    <row r="20" spans="1:22">
      <c r="A20" t="s">
        <v>18</v>
      </c>
      <c r="B20">
        <v>27.5</v>
      </c>
      <c r="C20">
        <v>49.4</v>
      </c>
      <c r="D20">
        <v>60.7</v>
      </c>
      <c r="E20">
        <v>25.5</v>
      </c>
      <c r="F20">
        <v>22.3</v>
      </c>
      <c r="G20">
        <v>35.299999999999997</v>
      </c>
      <c r="H20">
        <v>27.8</v>
      </c>
    </row>
    <row r="21" spans="1:22">
      <c r="A21" t="s">
        <v>19</v>
      </c>
      <c r="B21">
        <v>22.8</v>
      </c>
      <c r="C21">
        <v>50.2</v>
      </c>
      <c r="D21">
        <v>61.4</v>
      </c>
      <c r="E21">
        <v>24.9</v>
      </c>
      <c r="F21">
        <v>22.8</v>
      </c>
      <c r="G21">
        <v>32.200000000000003</v>
      </c>
      <c r="H21">
        <v>27.6</v>
      </c>
    </row>
    <row r="22" spans="1:22">
      <c r="A22" t="s">
        <v>20</v>
      </c>
      <c r="B22">
        <v>27.6</v>
      </c>
      <c r="C22">
        <v>45.9</v>
      </c>
      <c r="D22">
        <v>58.1</v>
      </c>
      <c r="E22">
        <v>24.7</v>
      </c>
      <c r="F22">
        <v>21.9</v>
      </c>
      <c r="G22">
        <v>34.5</v>
      </c>
      <c r="H22">
        <v>21.8</v>
      </c>
      <c r="N22" s="8"/>
    </row>
    <row r="23" spans="1:22">
      <c r="A23" t="s">
        <v>21</v>
      </c>
      <c r="B23">
        <v>45.7</v>
      </c>
      <c r="C23">
        <v>34.5</v>
      </c>
      <c r="D23">
        <v>36.5</v>
      </c>
      <c r="E23">
        <v>32.6</v>
      </c>
      <c r="F23">
        <v>38</v>
      </c>
      <c r="G23">
        <v>43.3</v>
      </c>
      <c r="H23">
        <v>27</v>
      </c>
    </row>
    <row r="24" spans="1:22">
      <c r="A24" t="s">
        <v>22</v>
      </c>
      <c r="B24">
        <v>39.299999999999997</v>
      </c>
      <c r="C24">
        <v>34.6</v>
      </c>
      <c r="D24">
        <v>37.200000000000003</v>
      </c>
      <c r="E24">
        <v>39.1</v>
      </c>
      <c r="F24">
        <v>42.8</v>
      </c>
      <c r="G24">
        <v>51.3</v>
      </c>
      <c r="H24">
        <v>32.9</v>
      </c>
    </row>
    <row r="25" spans="1:22">
      <c r="A25" t="s">
        <v>23</v>
      </c>
      <c r="B25">
        <v>38.299999999999997</v>
      </c>
      <c r="C25">
        <v>34.299999999999997</v>
      </c>
      <c r="D25">
        <v>35.6</v>
      </c>
      <c r="E25">
        <v>39</v>
      </c>
      <c r="F25">
        <v>42.4</v>
      </c>
      <c r="G25">
        <v>51.7</v>
      </c>
      <c r="H25">
        <v>33.4</v>
      </c>
      <c r="O25" s="44"/>
      <c r="P25" s="44"/>
      <c r="Q25" s="44"/>
      <c r="R25" s="44"/>
      <c r="S25" s="44"/>
      <c r="T25" s="44"/>
      <c r="U25" s="44"/>
      <c r="V25" s="44"/>
    </row>
    <row r="26" spans="1:22">
      <c r="A26" t="s">
        <v>24</v>
      </c>
      <c r="B26">
        <v>40.6</v>
      </c>
      <c r="C26">
        <v>35.5</v>
      </c>
      <c r="D26">
        <v>41.4</v>
      </c>
      <c r="E26">
        <v>39.299999999999997</v>
      </c>
      <c r="F26">
        <v>43.3</v>
      </c>
      <c r="G26">
        <v>50.8</v>
      </c>
      <c r="H26">
        <v>32.299999999999997</v>
      </c>
    </row>
    <row r="27" spans="1:22">
      <c r="A27" t="s">
        <v>25</v>
      </c>
      <c r="B27">
        <v>39.1</v>
      </c>
      <c r="C27">
        <v>45.6</v>
      </c>
      <c r="D27">
        <v>56</v>
      </c>
      <c r="E27">
        <v>38.200000000000003</v>
      </c>
      <c r="F27">
        <v>37.200000000000003</v>
      </c>
      <c r="G27">
        <v>49.9</v>
      </c>
      <c r="H27">
        <v>35.5</v>
      </c>
    </row>
    <row r="28" spans="1:22">
      <c r="A28" t="s">
        <v>26</v>
      </c>
      <c r="B28">
        <v>27.5</v>
      </c>
      <c r="C28">
        <v>43.9</v>
      </c>
      <c r="D28">
        <v>53.9</v>
      </c>
      <c r="E28">
        <v>28.2</v>
      </c>
      <c r="F28">
        <v>24.4</v>
      </c>
      <c r="G28">
        <v>36.1</v>
      </c>
      <c r="H28">
        <v>25.1</v>
      </c>
    </row>
    <row r="29" spans="1:22">
      <c r="A29" t="s">
        <v>27</v>
      </c>
      <c r="B29">
        <v>25.7</v>
      </c>
      <c r="C29">
        <v>49.2</v>
      </c>
      <c r="D29">
        <v>60.7</v>
      </c>
      <c r="E29">
        <v>28.9</v>
      </c>
      <c r="F29">
        <v>23.7</v>
      </c>
      <c r="G29">
        <v>35.799999999999997</v>
      </c>
      <c r="H29">
        <v>26</v>
      </c>
    </row>
    <row r="30" spans="1:22">
      <c r="A30" t="s">
        <v>28</v>
      </c>
      <c r="B30">
        <v>31.2</v>
      </c>
      <c r="C30">
        <v>38.5</v>
      </c>
      <c r="D30">
        <v>44.2</v>
      </c>
      <c r="E30">
        <v>26.6</v>
      </c>
      <c r="F30">
        <v>25.9</v>
      </c>
      <c r="G30">
        <v>36.700000000000003</v>
      </c>
      <c r="H30">
        <v>22.9</v>
      </c>
    </row>
    <row r="31" spans="1:22">
      <c r="A31" t="s">
        <v>29</v>
      </c>
      <c r="B31">
        <v>35.200000000000003</v>
      </c>
      <c r="C31">
        <v>38.6</v>
      </c>
      <c r="D31">
        <v>43.6</v>
      </c>
      <c r="E31">
        <v>35.200000000000003</v>
      </c>
      <c r="F31">
        <v>35.5</v>
      </c>
      <c r="G31">
        <v>45.9</v>
      </c>
      <c r="H31">
        <v>30.6</v>
      </c>
    </row>
    <row r="34" spans="1:8" s="55" customFormat="1">
      <c r="A34" s="55" t="s">
        <v>148</v>
      </c>
    </row>
    <row r="35" spans="1:8">
      <c r="A35" s="44" t="s">
        <v>84</v>
      </c>
      <c r="B35" s="44" t="s">
        <v>32</v>
      </c>
      <c r="C35" s="44" t="s">
        <v>139</v>
      </c>
      <c r="D35" s="44" t="s">
        <v>140</v>
      </c>
      <c r="E35" s="44" t="s">
        <v>49</v>
      </c>
      <c r="F35" s="44" t="s">
        <v>50</v>
      </c>
      <c r="G35" s="44" t="s">
        <v>46</v>
      </c>
      <c r="H35" s="44" t="s">
        <v>37</v>
      </c>
    </row>
    <row r="36" spans="1:8">
      <c r="A36" s="44" t="s">
        <v>0</v>
      </c>
      <c r="B36" s="44">
        <v>39.799999999999997</v>
      </c>
      <c r="C36" s="44">
        <f>100-C2</f>
        <v>63.9</v>
      </c>
      <c r="D36" s="44">
        <f>100-D2</f>
        <v>60.5</v>
      </c>
      <c r="E36" s="44">
        <v>35.1</v>
      </c>
      <c r="F36" s="44">
        <v>39.4</v>
      </c>
      <c r="G36" s="44">
        <v>49.4</v>
      </c>
      <c r="H36" s="44">
        <v>29.5</v>
      </c>
    </row>
    <row r="37" spans="1:8">
      <c r="A37" s="44" t="s">
        <v>1</v>
      </c>
      <c r="B37" s="44">
        <v>42</v>
      </c>
      <c r="C37" s="44">
        <f t="shared" ref="C37:D55" si="0">100-C3</f>
        <v>70.099999999999994</v>
      </c>
      <c r="D37" s="44">
        <f t="shared" si="0"/>
        <v>64</v>
      </c>
      <c r="E37" s="44">
        <v>36.200000000000003</v>
      </c>
      <c r="F37" s="44">
        <v>47.3</v>
      </c>
      <c r="G37" s="44">
        <v>47.7</v>
      </c>
      <c r="H37" s="44">
        <v>32.5</v>
      </c>
    </row>
    <row r="38" spans="1:8">
      <c r="A38" s="44" t="s">
        <v>2</v>
      </c>
      <c r="B38" s="44">
        <v>26.3</v>
      </c>
      <c r="C38" s="44">
        <f t="shared" si="0"/>
        <v>60</v>
      </c>
      <c r="D38" s="44">
        <f t="shared" si="0"/>
        <v>55.8</v>
      </c>
      <c r="E38" s="44">
        <v>36.200000000000003</v>
      </c>
      <c r="F38" s="44">
        <v>39.700000000000003</v>
      </c>
      <c r="G38" s="44">
        <v>47.1</v>
      </c>
      <c r="H38" s="44">
        <v>31.2</v>
      </c>
    </row>
    <row r="39" spans="1:8">
      <c r="A39" s="44" t="s">
        <v>3</v>
      </c>
      <c r="B39" s="44">
        <v>39.200000000000003</v>
      </c>
      <c r="C39" s="44">
        <f t="shared" si="0"/>
        <v>66.7</v>
      </c>
      <c r="D39" s="44">
        <f t="shared" si="0"/>
        <v>64.599999999999994</v>
      </c>
      <c r="E39" s="44">
        <v>41.1</v>
      </c>
      <c r="F39" s="44">
        <v>44.1</v>
      </c>
      <c r="G39" s="44">
        <v>53.4</v>
      </c>
      <c r="H39" s="44">
        <v>35.200000000000003</v>
      </c>
    </row>
    <row r="40" spans="1:8">
      <c r="A40" s="44" t="s">
        <v>4</v>
      </c>
      <c r="B40" s="44">
        <v>30.6</v>
      </c>
      <c r="C40" s="44">
        <f t="shared" si="0"/>
        <v>54.5</v>
      </c>
      <c r="D40" s="44">
        <f t="shared" si="0"/>
        <v>57.8</v>
      </c>
      <c r="E40" s="44">
        <v>43.2</v>
      </c>
      <c r="F40" s="44">
        <v>52.6</v>
      </c>
      <c r="G40" s="44">
        <v>52.5</v>
      </c>
      <c r="H40" s="44">
        <v>28.5</v>
      </c>
    </row>
    <row r="41" spans="1:8">
      <c r="A41" s="44" t="s">
        <v>7</v>
      </c>
      <c r="B41" s="44">
        <v>36.4</v>
      </c>
      <c r="C41" s="44">
        <f t="shared" si="0"/>
        <v>68</v>
      </c>
      <c r="D41" s="44">
        <f t="shared" si="0"/>
        <v>69.099999999999994</v>
      </c>
      <c r="E41" s="44">
        <v>39.700000000000003</v>
      </c>
      <c r="F41" s="44">
        <v>41</v>
      </c>
      <c r="G41" s="44">
        <v>50.1</v>
      </c>
      <c r="H41" s="44">
        <v>32.9</v>
      </c>
    </row>
    <row r="42" spans="1:8">
      <c r="A42" s="44" t="s">
        <v>8</v>
      </c>
      <c r="B42" s="44">
        <v>32.200000000000003</v>
      </c>
      <c r="C42" s="44">
        <f t="shared" si="0"/>
        <v>67</v>
      </c>
      <c r="D42" s="44">
        <f t="shared" si="0"/>
        <v>66.7</v>
      </c>
      <c r="E42" s="44">
        <v>37.200000000000003</v>
      </c>
      <c r="F42" s="44">
        <v>49.1</v>
      </c>
      <c r="G42" s="44">
        <v>49.9</v>
      </c>
      <c r="H42" s="44">
        <v>31.6</v>
      </c>
    </row>
    <row r="43" spans="1:8">
      <c r="A43" s="44" t="s">
        <v>9</v>
      </c>
      <c r="B43" s="44">
        <v>49.7</v>
      </c>
      <c r="C43" s="44">
        <f t="shared" si="0"/>
        <v>66.099999999999994</v>
      </c>
      <c r="D43" s="44">
        <f t="shared" si="0"/>
        <v>64.400000000000006</v>
      </c>
      <c r="E43" s="44">
        <v>38.5</v>
      </c>
      <c r="F43" s="44">
        <v>42.1</v>
      </c>
      <c r="G43" s="44">
        <v>51.5</v>
      </c>
      <c r="H43" s="44">
        <v>32.9</v>
      </c>
    </row>
    <row r="44" spans="1:8">
      <c r="A44" s="44" t="s">
        <v>10</v>
      </c>
      <c r="B44" s="44">
        <v>39.9</v>
      </c>
      <c r="C44" s="44">
        <f t="shared" si="0"/>
        <v>64.2</v>
      </c>
      <c r="D44" s="44">
        <f t="shared" si="0"/>
        <v>62</v>
      </c>
      <c r="E44" s="44">
        <v>37.6</v>
      </c>
      <c r="F44" s="44">
        <v>39.5</v>
      </c>
      <c r="G44" s="44">
        <v>48.5</v>
      </c>
      <c r="H44" s="44">
        <v>31.3</v>
      </c>
    </row>
    <row r="45" spans="1:8">
      <c r="A45" s="44" t="s">
        <v>11</v>
      </c>
      <c r="B45" s="44">
        <v>40.5</v>
      </c>
      <c r="C45" s="44">
        <f t="shared" si="0"/>
        <v>63</v>
      </c>
      <c r="D45" s="44">
        <f t="shared" si="0"/>
        <v>60.6</v>
      </c>
      <c r="E45" s="44">
        <v>34.299999999999997</v>
      </c>
      <c r="F45" s="44">
        <v>33.5</v>
      </c>
      <c r="G45" s="44">
        <v>47.4</v>
      </c>
      <c r="H45" s="44">
        <v>34.4</v>
      </c>
    </row>
    <row r="46" spans="1:8">
      <c r="A46" s="44" t="s">
        <v>12</v>
      </c>
      <c r="B46" s="44">
        <v>38.6</v>
      </c>
      <c r="C46" s="44">
        <f t="shared" si="0"/>
        <v>70.099999999999994</v>
      </c>
      <c r="D46" s="44">
        <f t="shared" si="0"/>
        <v>64.2</v>
      </c>
      <c r="E46" s="44">
        <v>33.1</v>
      </c>
      <c r="F46" s="44">
        <v>35.700000000000003</v>
      </c>
      <c r="G46" s="44">
        <v>48.8</v>
      </c>
      <c r="H46" s="44">
        <v>34.799999999999997</v>
      </c>
    </row>
    <row r="47" spans="1:8">
      <c r="A47" s="44" t="s">
        <v>13</v>
      </c>
      <c r="B47" s="44">
        <v>38.6</v>
      </c>
      <c r="C47" s="44">
        <f t="shared" si="0"/>
        <v>68</v>
      </c>
      <c r="D47" s="44">
        <f t="shared" si="0"/>
        <v>64.400000000000006</v>
      </c>
      <c r="E47" s="44">
        <v>40.6</v>
      </c>
      <c r="F47" s="44">
        <v>36.700000000000003</v>
      </c>
      <c r="G47" s="44">
        <v>51.5</v>
      </c>
      <c r="H47" s="44">
        <v>38.4</v>
      </c>
    </row>
    <row r="48" spans="1:8">
      <c r="A48" s="44" t="s">
        <v>14</v>
      </c>
      <c r="B48" s="44">
        <v>32.5</v>
      </c>
      <c r="C48" s="44">
        <f t="shared" si="0"/>
        <v>63.7</v>
      </c>
      <c r="D48" s="44">
        <f t="shared" si="0"/>
        <v>55.1</v>
      </c>
      <c r="E48" s="44">
        <v>30.9</v>
      </c>
      <c r="F48" s="44">
        <v>32.200000000000003</v>
      </c>
      <c r="G48" s="44">
        <v>45.1</v>
      </c>
      <c r="H48" s="44">
        <v>29.1</v>
      </c>
    </row>
    <row r="49" spans="1:11">
      <c r="A49" s="44" t="s">
        <v>15</v>
      </c>
      <c r="B49" s="44">
        <v>42.8</v>
      </c>
      <c r="C49" s="44">
        <f t="shared" si="0"/>
        <v>64.3</v>
      </c>
      <c r="D49" s="44">
        <f t="shared" si="0"/>
        <v>57.9</v>
      </c>
      <c r="E49" s="44">
        <v>29.6</v>
      </c>
      <c r="F49" s="44">
        <v>28.2</v>
      </c>
      <c r="G49" s="44">
        <v>40.6</v>
      </c>
      <c r="H49" s="44">
        <v>30.9</v>
      </c>
    </row>
    <row r="50" spans="1:11">
      <c r="A50" s="44" t="s">
        <v>16</v>
      </c>
      <c r="B50" s="44">
        <v>23.9</v>
      </c>
      <c r="C50" s="44">
        <f t="shared" si="0"/>
        <v>64.7</v>
      </c>
      <c r="D50" s="44">
        <f t="shared" si="0"/>
        <v>55.2</v>
      </c>
      <c r="E50" s="44">
        <v>30.6</v>
      </c>
      <c r="F50" s="44">
        <v>21.4</v>
      </c>
      <c r="G50" s="44">
        <v>32.5</v>
      </c>
      <c r="H50" s="44">
        <v>26.6</v>
      </c>
    </row>
    <row r="51" spans="1:11">
      <c r="A51" s="44" t="s">
        <v>17</v>
      </c>
      <c r="B51" s="44">
        <v>27.1</v>
      </c>
      <c r="C51" s="44">
        <f t="shared" si="0"/>
        <v>53.9</v>
      </c>
      <c r="D51" s="44">
        <f t="shared" si="0"/>
        <v>42.3</v>
      </c>
      <c r="E51" s="44">
        <v>28</v>
      </c>
      <c r="F51" s="44">
        <v>24.4</v>
      </c>
      <c r="G51" s="44">
        <v>38.9</v>
      </c>
      <c r="H51" s="44">
        <v>22.8</v>
      </c>
    </row>
    <row r="52" spans="1:11">
      <c r="A52" s="44" t="s">
        <v>18</v>
      </c>
      <c r="B52" s="44">
        <v>27.5</v>
      </c>
      <c r="C52" s="44">
        <f t="shared" si="0"/>
        <v>58.7</v>
      </c>
      <c r="D52" s="44">
        <f t="shared" si="0"/>
        <v>50.4</v>
      </c>
      <c r="E52" s="44">
        <v>25.5</v>
      </c>
      <c r="F52" s="44">
        <v>22.3</v>
      </c>
      <c r="G52" s="44">
        <v>35.299999999999997</v>
      </c>
      <c r="H52" s="44">
        <v>27.8</v>
      </c>
    </row>
    <row r="53" spans="1:11">
      <c r="A53" s="44" t="s">
        <v>19</v>
      </c>
      <c r="B53" s="44">
        <v>22.8</v>
      </c>
      <c r="C53" s="44">
        <f t="shared" si="0"/>
        <v>60.8</v>
      </c>
      <c r="D53" s="44">
        <f t="shared" si="0"/>
        <v>51</v>
      </c>
      <c r="E53" s="44">
        <v>24.9</v>
      </c>
      <c r="F53" s="44">
        <v>22.8</v>
      </c>
      <c r="G53" s="44">
        <v>32.200000000000003</v>
      </c>
      <c r="H53" s="44">
        <v>27.6</v>
      </c>
    </row>
    <row r="54" spans="1:11">
      <c r="A54" s="44" t="s">
        <v>20</v>
      </c>
      <c r="B54" s="44">
        <v>27.6</v>
      </c>
      <c r="C54" s="44">
        <f t="shared" si="0"/>
        <v>50.6</v>
      </c>
      <c r="D54" s="44">
        <f t="shared" si="0"/>
        <v>39.299999999999997</v>
      </c>
      <c r="E54" s="44">
        <v>24.7</v>
      </c>
      <c r="F54" s="44">
        <v>21.9</v>
      </c>
      <c r="G54" s="44">
        <v>34.5</v>
      </c>
      <c r="H54" s="44">
        <v>21.8</v>
      </c>
    </row>
    <row r="55" spans="1:11">
      <c r="A55" s="44" t="s">
        <v>21</v>
      </c>
      <c r="B55" s="44">
        <v>45.7</v>
      </c>
      <c r="C55" s="44">
        <f t="shared" si="0"/>
        <v>49.8</v>
      </c>
      <c r="D55" s="44">
        <f t="shared" si="0"/>
        <v>38.6</v>
      </c>
      <c r="E55" s="44">
        <v>32.6</v>
      </c>
      <c r="F55" s="44">
        <v>38</v>
      </c>
      <c r="G55" s="44">
        <v>43.3</v>
      </c>
      <c r="H55" s="44">
        <v>27</v>
      </c>
    </row>
    <row r="56" spans="1:11">
      <c r="A56" s="44" t="s">
        <v>215</v>
      </c>
    </row>
    <row r="57" spans="1:11">
      <c r="A57" s="44" t="s">
        <v>5</v>
      </c>
      <c r="B57" s="44">
        <v>20.8</v>
      </c>
      <c r="C57" s="44">
        <v>68</v>
      </c>
      <c r="D57" s="44">
        <v>69.099999999999994</v>
      </c>
      <c r="E57" s="44">
        <v>39.6</v>
      </c>
      <c r="F57" s="44">
        <v>52.5</v>
      </c>
      <c r="G57" s="44">
        <v>48</v>
      </c>
      <c r="H57" s="44">
        <v>23</v>
      </c>
    </row>
    <row r="58" spans="1:11">
      <c r="A58" s="44" t="s">
        <v>6</v>
      </c>
      <c r="B58" s="44">
        <v>40.4</v>
      </c>
      <c r="C58" s="44">
        <v>67</v>
      </c>
      <c r="D58" s="44">
        <v>66.7</v>
      </c>
      <c r="E58" s="44">
        <v>46.6</v>
      </c>
      <c r="F58" s="44">
        <v>52.7</v>
      </c>
      <c r="G58" s="44">
        <v>56.8</v>
      </c>
      <c r="H58" s="44">
        <v>34.1</v>
      </c>
      <c r="K58" t="s">
        <v>216</v>
      </c>
    </row>
    <row r="59" spans="1:11">
      <c r="A59" s="44" t="s">
        <v>22</v>
      </c>
      <c r="B59" s="44">
        <v>39.299999999999997</v>
      </c>
      <c r="C59" s="44">
        <v>65.400000000000006</v>
      </c>
      <c r="D59" s="44">
        <v>62.8</v>
      </c>
      <c r="E59" s="44">
        <v>39.1</v>
      </c>
      <c r="F59" s="44">
        <v>42.8</v>
      </c>
      <c r="G59" s="44">
        <v>51.3</v>
      </c>
      <c r="H59" s="44">
        <v>32.9</v>
      </c>
      <c r="K59" t="s">
        <v>217</v>
      </c>
    </row>
    <row r="60" spans="1:11">
      <c r="A60" s="44" t="s">
        <v>23</v>
      </c>
      <c r="B60" s="44">
        <v>38.299999999999997</v>
      </c>
      <c r="C60" s="44">
        <v>65.7</v>
      </c>
      <c r="D60" s="44">
        <v>64.400000000000006</v>
      </c>
      <c r="E60" s="44">
        <v>39</v>
      </c>
      <c r="F60" s="44">
        <v>42.4</v>
      </c>
      <c r="G60" s="44">
        <v>51.7</v>
      </c>
      <c r="H60" s="44">
        <v>33.4</v>
      </c>
    </row>
    <row r="61" spans="1:11">
      <c r="A61" s="44" t="s">
        <v>24</v>
      </c>
      <c r="B61" s="44">
        <v>40.6</v>
      </c>
      <c r="C61" s="44">
        <v>64.5</v>
      </c>
      <c r="D61" s="44">
        <v>58.6</v>
      </c>
      <c r="E61" s="44">
        <v>39.299999999999997</v>
      </c>
      <c r="F61" s="44">
        <v>43.3</v>
      </c>
      <c r="G61" s="44">
        <v>50.8</v>
      </c>
      <c r="H61" s="44">
        <v>32.299999999999997</v>
      </c>
    </row>
    <row r="62" spans="1:11">
      <c r="A62" s="44" t="s">
        <v>25</v>
      </c>
      <c r="B62" s="44">
        <v>39.1</v>
      </c>
      <c r="C62" s="44">
        <v>54.4</v>
      </c>
      <c r="D62" s="44">
        <v>44</v>
      </c>
      <c r="E62" s="44">
        <v>38.200000000000003</v>
      </c>
      <c r="F62" s="44">
        <v>37.200000000000003</v>
      </c>
      <c r="G62" s="44">
        <v>49.9</v>
      </c>
      <c r="H62" s="44">
        <v>35.5</v>
      </c>
    </row>
    <row r="63" spans="1:11">
      <c r="A63" s="44" t="s">
        <v>26</v>
      </c>
      <c r="B63" s="44">
        <v>27.5</v>
      </c>
      <c r="C63" s="44">
        <v>56.1</v>
      </c>
      <c r="D63" s="44">
        <v>46.1</v>
      </c>
      <c r="E63" s="44">
        <v>28.2</v>
      </c>
      <c r="F63" s="44">
        <v>24.4</v>
      </c>
      <c r="G63" s="44">
        <v>36.1</v>
      </c>
      <c r="H63" s="44">
        <v>25.1</v>
      </c>
    </row>
    <row r="64" spans="1:11">
      <c r="A64" s="44" t="s">
        <v>27</v>
      </c>
      <c r="B64" s="44">
        <v>25.7</v>
      </c>
      <c r="C64" s="44">
        <v>50.8</v>
      </c>
      <c r="D64" s="44">
        <v>39.299999999999997</v>
      </c>
      <c r="E64" s="44">
        <v>28.9</v>
      </c>
      <c r="F64" s="44">
        <v>23.7</v>
      </c>
      <c r="G64" s="44">
        <v>35.799999999999997</v>
      </c>
      <c r="H64" s="44">
        <v>26</v>
      </c>
    </row>
    <row r="65" spans="1:8">
      <c r="A65" s="44" t="s">
        <v>28</v>
      </c>
      <c r="B65" s="44">
        <v>31.2</v>
      </c>
      <c r="C65" s="44">
        <v>61.5</v>
      </c>
      <c r="D65" s="44">
        <v>55.8</v>
      </c>
      <c r="E65" s="44">
        <v>26.6</v>
      </c>
      <c r="F65" s="44">
        <v>25.9</v>
      </c>
      <c r="G65" s="44">
        <v>36.700000000000003</v>
      </c>
      <c r="H65" s="44">
        <v>22.9</v>
      </c>
    </row>
    <row r="66" spans="1:8">
      <c r="A66" s="44" t="s">
        <v>29</v>
      </c>
      <c r="B66" s="44">
        <v>35.200000000000003</v>
      </c>
      <c r="C66" s="44">
        <v>61.4</v>
      </c>
      <c r="D66" s="44">
        <v>56.4</v>
      </c>
      <c r="E66" s="44">
        <v>35.200000000000003</v>
      </c>
      <c r="F66" s="44">
        <v>35.5</v>
      </c>
      <c r="G66" s="44">
        <v>45.9</v>
      </c>
      <c r="H66" s="44">
        <v>30.6</v>
      </c>
    </row>
    <row r="67" spans="1:8">
      <c r="A67" s="44"/>
      <c r="B67" s="44"/>
      <c r="C67" s="44"/>
      <c r="D67" s="44"/>
      <c r="E67" s="44"/>
      <c r="F67" s="44"/>
      <c r="G67" s="44"/>
      <c r="H67" s="44"/>
    </row>
    <row r="68" spans="1:8">
      <c r="A68" s="44"/>
      <c r="B68" s="44"/>
      <c r="C68" s="44"/>
      <c r="D68" s="44"/>
      <c r="E68" s="44"/>
      <c r="F68" s="44"/>
      <c r="G68" s="44"/>
      <c r="H68" s="44"/>
    </row>
    <row r="69" spans="1:8">
      <c r="A69" s="44"/>
      <c r="B69" s="44"/>
      <c r="C69" s="44"/>
      <c r="D69" s="44"/>
      <c r="E69" s="44"/>
      <c r="F69" s="44"/>
      <c r="G69" s="44"/>
      <c r="H69" s="44"/>
    </row>
    <row r="70" spans="1:8" s="55" customFormat="1">
      <c r="A70" s="55" t="s">
        <v>162</v>
      </c>
    </row>
    <row r="71" spans="1:8">
      <c r="A71" s="46" t="s">
        <v>84</v>
      </c>
      <c r="B71" s="46" t="s">
        <v>32</v>
      </c>
      <c r="C71" s="46" t="s">
        <v>139</v>
      </c>
      <c r="D71" s="46" t="s">
        <v>140</v>
      </c>
      <c r="E71" s="46" t="s">
        <v>49</v>
      </c>
      <c r="F71" s="46" t="s">
        <v>50</v>
      </c>
      <c r="G71" s="46" t="s">
        <v>46</v>
      </c>
      <c r="H71" s="46" t="s">
        <v>37</v>
      </c>
    </row>
    <row r="72" spans="1:8">
      <c r="A72" s="1" t="s">
        <v>0</v>
      </c>
      <c r="B72" s="1">
        <v>39.799999999999997</v>
      </c>
      <c r="C72" s="1">
        <v>63.9</v>
      </c>
      <c r="D72" s="1">
        <v>60.5</v>
      </c>
      <c r="E72" s="1">
        <v>35.1</v>
      </c>
      <c r="F72" s="1">
        <v>39.4</v>
      </c>
      <c r="G72" s="1">
        <v>49.4</v>
      </c>
      <c r="H72" s="1">
        <v>29.5</v>
      </c>
    </row>
    <row r="73" spans="1:8">
      <c r="A73" s="1" t="s">
        <v>1</v>
      </c>
      <c r="B73" s="1">
        <v>42</v>
      </c>
      <c r="C73" s="1">
        <v>70.099999999999994</v>
      </c>
      <c r="D73" s="1">
        <v>64</v>
      </c>
      <c r="E73" s="1">
        <v>36.200000000000003</v>
      </c>
      <c r="F73" s="1">
        <v>47.3</v>
      </c>
      <c r="G73" s="1">
        <v>47.7</v>
      </c>
      <c r="H73" s="1">
        <v>32.5</v>
      </c>
    </row>
    <row r="74" spans="1:8">
      <c r="A74" s="1" t="s">
        <v>2</v>
      </c>
      <c r="B74" s="1">
        <v>26.3</v>
      </c>
      <c r="C74" s="1">
        <v>60</v>
      </c>
      <c r="D74" s="1">
        <v>55.8</v>
      </c>
      <c r="E74" s="1">
        <v>36.200000000000003</v>
      </c>
      <c r="F74" s="1">
        <v>39.700000000000003</v>
      </c>
      <c r="G74" s="1">
        <v>47.1</v>
      </c>
      <c r="H74" s="1">
        <v>31.2</v>
      </c>
    </row>
    <row r="75" spans="1:8">
      <c r="A75" s="1" t="s">
        <v>3</v>
      </c>
      <c r="B75" s="1">
        <v>39.200000000000003</v>
      </c>
      <c r="C75" s="1">
        <v>66.7</v>
      </c>
      <c r="D75" s="1">
        <v>64.599999999999994</v>
      </c>
      <c r="E75" s="1">
        <v>41.1</v>
      </c>
      <c r="F75" s="1">
        <v>44.1</v>
      </c>
      <c r="G75" s="1">
        <v>53.4</v>
      </c>
      <c r="H75" s="1">
        <v>35.200000000000003</v>
      </c>
    </row>
    <row r="76" spans="1:8">
      <c r="A76" s="1" t="s">
        <v>4</v>
      </c>
      <c r="B76" s="1">
        <v>30.6</v>
      </c>
      <c r="C76" s="1">
        <v>54.5</v>
      </c>
      <c r="D76" s="1">
        <v>57.8</v>
      </c>
      <c r="E76" s="1">
        <v>43.2</v>
      </c>
      <c r="F76" s="1">
        <v>52.6</v>
      </c>
      <c r="G76" s="1">
        <v>52.5</v>
      </c>
      <c r="H76" s="1">
        <v>28.5</v>
      </c>
    </row>
    <row r="77" spans="1:8">
      <c r="A77" s="1" t="s">
        <v>7</v>
      </c>
      <c r="B77" s="1">
        <v>36.4</v>
      </c>
      <c r="C77" s="1">
        <v>68</v>
      </c>
      <c r="D77" s="1">
        <v>69.099999999999994</v>
      </c>
      <c r="E77" s="1">
        <v>39.700000000000003</v>
      </c>
      <c r="F77" s="1">
        <v>41</v>
      </c>
      <c r="G77" s="1">
        <v>50.1</v>
      </c>
      <c r="H77" s="1">
        <v>32.9</v>
      </c>
    </row>
    <row r="78" spans="1:8">
      <c r="A78" s="1" t="s">
        <v>8</v>
      </c>
      <c r="B78" s="1">
        <v>32.200000000000003</v>
      </c>
      <c r="C78" s="1">
        <v>67</v>
      </c>
      <c r="D78" s="1">
        <v>66.7</v>
      </c>
      <c r="E78" s="1">
        <v>37.200000000000003</v>
      </c>
      <c r="F78" s="1">
        <v>49.1</v>
      </c>
      <c r="G78" s="1">
        <v>49.9</v>
      </c>
      <c r="H78" s="1">
        <v>31.6</v>
      </c>
    </row>
    <row r="79" spans="1:8">
      <c r="A79" s="1" t="s">
        <v>9</v>
      </c>
      <c r="B79" s="1">
        <v>49.7</v>
      </c>
      <c r="C79" s="1">
        <v>66.099999999999994</v>
      </c>
      <c r="D79" s="1">
        <v>64.400000000000006</v>
      </c>
      <c r="E79" s="1">
        <v>38.5</v>
      </c>
      <c r="F79" s="1">
        <v>42.1</v>
      </c>
      <c r="G79" s="1">
        <v>51.5</v>
      </c>
      <c r="H79" s="1">
        <v>32.9</v>
      </c>
    </row>
    <row r="80" spans="1:8">
      <c r="A80" s="1" t="s">
        <v>10</v>
      </c>
      <c r="B80" s="1">
        <v>39.9</v>
      </c>
      <c r="C80" s="1">
        <v>64.2</v>
      </c>
      <c r="D80" s="1">
        <v>62</v>
      </c>
      <c r="E80" s="1">
        <v>37.6</v>
      </c>
      <c r="F80" s="1">
        <v>39.5</v>
      </c>
      <c r="G80" s="1">
        <v>48.5</v>
      </c>
      <c r="H80" s="1">
        <v>31.3</v>
      </c>
    </row>
    <row r="81" spans="1:8">
      <c r="A81" s="1" t="s">
        <v>11</v>
      </c>
      <c r="B81" s="1">
        <v>40.5</v>
      </c>
      <c r="C81" s="1">
        <v>63</v>
      </c>
      <c r="D81" s="1">
        <v>60.6</v>
      </c>
      <c r="E81" s="1">
        <v>34.299999999999997</v>
      </c>
      <c r="F81" s="1">
        <v>33.5</v>
      </c>
      <c r="G81" s="1">
        <v>47.4</v>
      </c>
      <c r="H81" s="1">
        <v>34.4</v>
      </c>
    </row>
    <row r="82" spans="1:8">
      <c r="A82" s="1" t="s">
        <v>12</v>
      </c>
      <c r="B82" s="1">
        <v>38.6</v>
      </c>
      <c r="C82" s="1">
        <v>70.099999999999994</v>
      </c>
      <c r="D82" s="1">
        <v>64.2</v>
      </c>
      <c r="E82" s="1">
        <v>33.1</v>
      </c>
      <c r="F82" s="1">
        <v>35.700000000000003</v>
      </c>
      <c r="G82" s="1">
        <v>48.8</v>
      </c>
      <c r="H82" s="1">
        <v>34.799999999999997</v>
      </c>
    </row>
    <row r="83" spans="1:8">
      <c r="A83" s="1" t="s">
        <v>13</v>
      </c>
      <c r="B83" s="1">
        <v>38.6</v>
      </c>
      <c r="C83" s="1">
        <v>68</v>
      </c>
      <c r="D83" s="1">
        <v>64.400000000000006</v>
      </c>
      <c r="E83" s="1">
        <v>40.6</v>
      </c>
      <c r="F83" s="1">
        <v>36.700000000000003</v>
      </c>
      <c r="G83" s="1">
        <v>51.5</v>
      </c>
      <c r="H83" s="1">
        <v>38.4</v>
      </c>
    </row>
    <row r="84" spans="1:8">
      <c r="A84" s="1" t="s">
        <v>14</v>
      </c>
      <c r="B84" s="1">
        <v>32.5</v>
      </c>
      <c r="C84" s="1">
        <v>63.7</v>
      </c>
      <c r="D84" s="1">
        <v>55.1</v>
      </c>
      <c r="E84" s="1">
        <v>30.9</v>
      </c>
      <c r="F84" s="1">
        <v>32.200000000000003</v>
      </c>
      <c r="G84" s="1">
        <v>45.1</v>
      </c>
      <c r="H84" s="1">
        <v>29.1</v>
      </c>
    </row>
    <row r="85" spans="1:8">
      <c r="A85" s="1" t="s">
        <v>15</v>
      </c>
      <c r="B85" s="1">
        <v>42.8</v>
      </c>
      <c r="C85" s="1">
        <v>64.3</v>
      </c>
      <c r="D85" s="1">
        <v>57.9</v>
      </c>
      <c r="E85" s="1">
        <v>29.6</v>
      </c>
      <c r="F85" s="1">
        <v>28.2</v>
      </c>
      <c r="G85" s="1">
        <v>40.6</v>
      </c>
      <c r="H85" s="1">
        <v>30.9</v>
      </c>
    </row>
    <row r="86" spans="1:8">
      <c r="A86" s="1" t="s">
        <v>16</v>
      </c>
      <c r="B86" s="1">
        <v>23.9</v>
      </c>
      <c r="C86" s="1">
        <v>64.7</v>
      </c>
      <c r="D86" s="1">
        <v>55.2</v>
      </c>
      <c r="E86" s="1">
        <v>30.6</v>
      </c>
      <c r="F86" s="1">
        <v>21.4</v>
      </c>
      <c r="G86" s="1">
        <v>32.5</v>
      </c>
      <c r="H86" s="1">
        <v>26.6</v>
      </c>
    </row>
    <row r="87" spans="1:8">
      <c r="A87" s="1" t="s">
        <v>17</v>
      </c>
      <c r="B87" s="1">
        <v>27.1</v>
      </c>
      <c r="C87" s="1">
        <v>53.9</v>
      </c>
      <c r="D87" s="1">
        <v>42.3</v>
      </c>
      <c r="E87" s="1">
        <v>28</v>
      </c>
      <c r="F87" s="1">
        <v>24.4</v>
      </c>
      <c r="G87" s="1">
        <v>38.9</v>
      </c>
      <c r="H87" s="1">
        <v>22.8</v>
      </c>
    </row>
    <row r="88" spans="1:8">
      <c r="A88" s="1" t="s">
        <v>18</v>
      </c>
      <c r="B88" s="1">
        <v>27.5</v>
      </c>
      <c r="C88" s="1">
        <v>58.7</v>
      </c>
      <c r="D88" s="1">
        <v>50.4</v>
      </c>
      <c r="E88" s="1">
        <v>25.5</v>
      </c>
      <c r="F88" s="1">
        <v>22.3</v>
      </c>
      <c r="G88" s="1">
        <v>35.299999999999997</v>
      </c>
      <c r="H88" s="1">
        <v>27.8</v>
      </c>
    </row>
    <row r="89" spans="1:8">
      <c r="A89" s="1" t="s">
        <v>19</v>
      </c>
      <c r="B89" s="1">
        <v>22.8</v>
      </c>
      <c r="C89" s="1">
        <v>60.8</v>
      </c>
      <c r="D89" s="1">
        <v>51</v>
      </c>
      <c r="E89" s="1">
        <v>24.9</v>
      </c>
      <c r="F89" s="1">
        <v>22.8</v>
      </c>
      <c r="G89" s="1">
        <v>32.200000000000003</v>
      </c>
      <c r="H89" s="1">
        <v>27.6</v>
      </c>
    </row>
    <row r="90" spans="1:8">
      <c r="A90" s="1" t="s">
        <v>20</v>
      </c>
      <c r="B90" s="1">
        <v>27.6</v>
      </c>
      <c r="C90" s="1">
        <v>50.6</v>
      </c>
      <c r="D90" s="1">
        <v>39.299999999999997</v>
      </c>
      <c r="E90" s="1">
        <v>24.7</v>
      </c>
      <c r="F90" s="1">
        <v>21.9</v>
      </c>
      <c r="G90" s="1">
        <v>34.5</v>
      </c>
      <c r="H90" s="1">
        <v>21.8</v>
      </c>
    </row>
    <row r="91" spans="1:8">
      <c r="A91" s="1" t="s">
        <v>21</v>
      </c>
      <c r="B91" s="1">
        <v>45.7</v>
      </c>
      <c r="C91" s="1">
        <v>49.8</v>
      </c>
      <c r="D91" s="1">
        <v>38.6</v>
      </c>
      <c r="E91" s="1">
        <v>32.6</v>
      </c>
      <c r="F91" s="1">
        <v>38</v>
      </c>
      <c r="G91" s="1">
        <v>43.3</v>
      </c>
      <c r="H91" s="1">
        <v>27</v>
      </c>
    </row>
    <row r="92" spans="1:8">
      <c r="A92" s="1"/>
      <c r="B92" s="1"/>
      <c r="C92" s="1"/>
      <c r="D92" s="1"/>
      <c r="E92" s="1"/>
      <c r="F92" s="1"/>
      <c r="G92" s="1"/>
      <c r="H92" s="1"/>
    </row>
    <row r="93" spans="1:8">
      <c r="A93" s="1" t="s">
        <v>154</v>
      </c>
      <c r="B93" s="1">
        <f t="shared" ref="B93:H93" si="1">SUM(B72:B91)</f>
        <v>703.7</v>
      </c>
      <c r="C93" s="1">
        <f t="shared" si="1"/>
        <v>1248.0999999999999</v>
      </c>
      <c r="D93" s="1">
        <f t="shared" si="1"/>
        <v>1143.8999999999999</v>
      </c>
      <c r="E93" s="1">
        <f t="shared" si="1"/>
        <v>679.60000000000014</v>
      </c>
      <c r="F93" s="1">
        <f t="shared" si="1"/>
        <v>711.9</v>
      </c>
      <c r="G93" s="1">
        <f t="shared" si="1"/>
        <v>900.19999999999993</v>
      </c>
      <c r="H93" s="1">
        <f t="shared" si="1"/>
        <v>606.79999999999995</v>
      </c>
    </row>
    <row r="94" spans="1:8">
      <c r="A94" s="1" t="s">
        <v>160</v>
      </c>
      <c r="B94" s="1">
        <f>MIN(B72:B91)</f>
        <v>22.8</v>
      </c>
      <c r="C94" s="1">
        <f t="shared" ref="C94:H94" si="2">MIN(C72:C91)</f>
        <v>49.8</v>
      </c>
      <c r="D94" s="1">
        <f t="shared" si="2"/>
        <v>38.6</v>
      </c>
      <c r="E94" s="1">
        <f t="shared" si="2"/>
        <v>24.7</v>
      </c>
      <c r="F94" s="1">
        <f t="shared" si="2"/>
        <v>21.4</v>
      </c>
      <c r="G94" s="1">
        <f t="shared" si="2"/>
        <v>32.200000000000003</v>
      </c>
      <c r="H94" s="1">
        <f t="shared" si="2"/>
        <v>21.8</v>
      </c>
    </row>
    <row r="95" spans="1:8">
      <c r="A95" s="1" t="s">
        <v>161</v>
      </c>
      <c r="B95" s="1">
        <f>MAX(B72:B91)</f>
        <v>49.7</v>
      </c>
      <c r="C95" s="1">
        <f t="shared" ref="C95:H95" si="3">MAX(C72:C91)</f>
        <v>70.099999999999994</v>
      </c>
      <c r="D95" s="1">
        <f t="shared" si="3"/>
        <v>69.099999999999994</v>
      </c>
      <c r="E95" s="1">
        <f t="shared" si="3"/>
        <v>43.2</v>
      </c>
      <c r="F95" s="1">
        <f t="shared" si="3"/>
        <v>52.6</v>
      </c>
      <c r="G95" s="1">
        <f t="shared" si="3"/>
        <v>53.4</v>
      </c>
      <c r="H95" s="1">
        <f t="shared" si="3"/>
        <v>38.4</v>
      </c>
    </row>
    <row r="96" spans="1:8">
      <c r="A96" s="1" t="s">
        <v>164</v>
      </c>
      <c r="B96" s="1">
        <f>B95-B94</f>
        <v>26.900000000000002</v>
      </c>
      <c r="C96" s="1">
        <f t="shared" ref="C96:G96" si="4">C95-C94</f>
        <v>20.299999999999997</v>
      </c>
      <c r="D96" s="1">
        <f t="shared" si="4"/>
        <v>30.499999999999993</v>
      </c>
      <c r="E96" s="1">
        <f t="shared" si="4"/>
        <v>18.500000000000004</v>
      </c>
      <c r="F96" s="1">
        <f>F95-F94</f>
        <v>31.200000000000003</v>
      </c>
      <c r="G96" s="1">
        <f t="shared" si="4"/>
        <v>21.199999999999996</v>
      </c>
      <c r="H96" s="1">
        <f>H95-H94</f>
        <v>16.599999999999998</v>
      </c>
    </row>
    <row r="97" spans="1:13">
      <c r="A97" s="1"/>
      <c r="B97" s="1"/>
      <c r="C97" s="1"/>
      <c r="D97" s="1"/>
      <c r="E97" s="1"/>
      <c r="F97" s="1"/>
      <c r="G97" s="1"/>
      <c r="H97" s="1"/>
    </row>
    <row r="98" spans="1:13">
      <c r="A98" s="1"/>
      <c r="B98" s="1"/>
      <c r="C98" s="1"/>
      <c r="D98" s="1"/>
      <c r="E98" s="1"/>
      <c r="F98" s="1"/>
      <c r="G98" s="1"/>
      <c r="H98" s="1"/>
    </row>
    <row r="99" spans="1:13">
      <c r="B99" s="1"/>
      <c r="C99" s="1"/>
      <c r="D99" s="1"/>
      <c r="E99" s="1"/>
      <c r="F99" s="1"/>
      <c r="G99" s="1"/>
      <c r="H99" s="1"/>
    </row>
    <row r="100" spans="1:13" s="55" customFormat="1">
      <c r="A100" s="53" t="s">
        <v>149</v>
      </c>
      <c r="B100" s="54"/>
      <c r="D100" s="64"/>
    </row>
    <row r="101" spans="1:13">
      <c r="A101" s="46" t="s">
        <v>84</v>
      </c>
      <c r="B101" s="46" t="s">
        <v>32</v>
      </c>
      <c r="C101" s="46" t="s">
        <v>139</v>
      </c>
      <c r="D101" s="46" t="s">
        <v>140</v>
      </c>
      <c r="E101" s="46" t="s">
        <v>49</v>
      </c>
      <c r="F101" s="46" t="s">
        <v>50</v>
      </c>
      <c r="G101" s="46" t="s">
        <v>46</v>
      </c>
      <c r="H101" s="46" t="s">
        <v>37</v>
      </c>
      <c r="I101" s="46" t="s">
        <v>150</v>
      </c>
      <c r="J101" s="46" t="s">
        <v>163</v>
      </c>
      <c r="L101" s="46" t="s">
        <v>84</v>
      </c>
      <c r="M101" s="46" t="s">
        <v>163</v>
      </c>
    </row>
    <row r="102" spans="1:13">
      <c r="A102" s="1" t="s">
        <v>0</v>
      </c>
      <c r="B102">
        <f t="shared" ref="B102:H111" si="5">_xlfn.RANK.AVG(B72,B$72:B$91, 1)</f>
        <v>14</v>
      </c>
      <c r="C102">
        <f t="shared" si="5"/>
        <v>10</v>
      </c>
      <c r="D102">
        <f t="shared" si="5"/>
        <v>11</v>
      </c>
      <c r="E102">
        <f t="shared" si="5"/>
        <v>11</v>
      </c>
      <c r="F102">
        <f t="shared" si="5"/>
        <v>12</v>
      </c>
      <c r="G102">
        <f t="shared" si="5"/>
        <v>14</v>
      </c>
      <c r="H102">
        <f t="shared" si="5"/>
        <v>9</v>
      </c>
      <c r="I102">
        <f>SUM(B102:H102)</f>
        <v>81</v>
      </c>
      <c r="J102">
        <f t="shared" ref="J102:J121" si="6">_xlfn.RANK.AVG(I102,I$102:I$121,1)</f>
        <v>10.5</v>
      </c>
      <c r="L102" s="1" t="s">
        <v>3</v>
      </c>
      <c r="M102">
        <v>20</v>
      </c>
    </row>
    <row r="103" spans="1:13">
      <c r="A103" s="1" t="s">
        <v>87</v>
      </c>
      <c r="B103">
        <f t="shared" si="5"/>
        <v>17</v>
      </c>
      <c r="C103">
        <f t="shared" si="5"/>
        <v>19.5</v>
      </c>
      <c r="D103">
        <f t="shared" si="5"/>
        <v>14</v>
      </c>
      <c r="E103">
        <f t="shared" si="5"/>
        <v>12.5</v>
      </c>
      <c r="F103">
        <f t="shared" si="5"/>
        <v>18</v>
      </c>
      <c r="G103">
        <f t="shared" si="5"/>
        <v>11</v>
      </c>
      <c r="H103">
        <f t="shared" si="5"/>
        <v>14</v>
      </c>
      <c r="I103">
        <f>SUM(B103:H103)</f>
        <v>106</v>
      </c>
      <c r="J103">
        <f t="shared" si="6"/>
        <v>16</v>
      </c>
      <c r="L103" s="1" t="s">
        <v>9</v>
      </c>
      <c r="M103">
        <v>19</v>
      </c>
    </row>
    <row r="104" spans="1:13">
      <c r="A104" s="1" t="s">
        <v>2</v>
      </c>
      <c r="B104">
        <f t="shared" si="5"/>
        <v>3</v>
      </c>
      <c r="C104">
        <f t="shared" si="5"/>
        <v>6</v>
      </c>
      <c r="D104">
        <f t="shared" si="5"/>
        <v>8</v>
      </c>
      <c r="E104">
        <f t="shared" si="5"/>
        <v>12.5</v>
      </c>
      <c r="F104">
        <f t="shared" si="5"/>
        <v>14</v>
      </c>
      <c r="G104">
        <f t="shared" si="5"/>
        <v>9</v>
      </c>
      <c r="H104">
        <f t="shared" si="5"/>
        <v>11</v>
      </c>
      <c r="I104">
        <f t="shared" ref="I104:I120" si="7">SUM(B104:H104)</f>
        <v>63.5</v>
      </c>
      <c r="J104">
        <f t="shared" si="6"/>
        <v>8</v>
      </c>
      <c r="L104" s="1" t="s">
        <v>7</v>
      </c>
      <c r="M104">
        <v>17.5</v>
      </c>
    </row>
    <row r="105" spans="1:13">
      <c r="A105" s="1" t="s">
        <v>3</v>
      </c>
      <c r="B105">
        <f t="shared" si="5"/>
        <v>13</v>
      </c>
      <c r="C105">
        <f t="shared" si="5"/>
        <v>15</v>
      </c>
      <c r="D105">
        <f t="shared" si="5"/>
        <v>18</v>
      </c>
      <c r="E105">
        <f t="shared" si="5"/>
        <v>19</v>
      </c>
      <c r="F105">
        <f t="shared" si="5"/>
        <v>17</v>
      </c>
      <c r="G105">
        <f t="shared" si="5"/>
        <v>20</v>
      </c>
      <c r="H105">
        <f t="shared" si="5"/>
        <v>19</v>
      </c>
      <c r="I105">
        <f t="shared" si="7"/>
        <v>121</v>
      </c>
      <c r="J105">
        <f t="shared" si="6"/>
        <v>20</v>
      </c>
      <c r="L105" s="1" t="s">
        <v>13</v>
      </c>
      <c r="M105">
        <v>17.5</v>
      </c>
    </row>
    <row r="106" spans="1:13">
      <c r="A106" s="1" t="s">
        <v>4</v>
      </c>
      <c r="B106">
        <f t="shared" si="5"/>
        <v>7</v>
      </c>
      <c r="C106">
        <f t="shared" si="5"/>
        <v>4</v>
      </c>
      <c r="D106">
        <f t="shared" si="5"/>
        <v>9</v>
      </c>
      <c r="E106">
        <f t="shared" si="5"/>
        <v>20</v>
      </c>
      <c r="F106">
        <f t="shared" si="5"/>
        <v>20</v>
      </c>
      <c r="G106">
        <f t="shared" si="5"/>
        <v>19</v>
      </c>
      <c r="H106">
        <f t="shared" si="5"/>
        <v>7</v>
      </c>
      <c r="I106">
        <f t="shared" si="7"/>
        <v>86</v>
      </c>
      <c r="J106">
        <f t="shared" si="6"/>
        <v>12</v>
      </c>
      <c r="L106" s="1" t="s">
        <v>87</v>
      </c>
      <c r="M106">
        <v>16</v>
      </c>
    </row>
    <row r="107" spans="1:13">
      <c r="A107" s="1" t="s">
        <v>7</v>
      </c>
      <c r="B107">
        <f t="shared" si="5"/>
        <v>10</v>
      </c>
      <c r="C107">
        <f t="shared" si="5"/>
        <v>17.5</v>
      </c>
      <c r="D107">
        <f t="shared" si="5"/>
        <v>20</v>
      </c>
      <c r="E107">
        <f t="shared" si="5"/>
        <v>17</v>
      </c>
      <c r="F107">
        <f t="shared" si="5"/>
        <v>15</v>
      </c>
      <c r="G107">
        <f t="shared" si="5"/>
        <v>16</v>
      </c>
      <c r="H107">
        <f t="shared" si="5"/>
        <v>15.5</v>
      </c>
      <c r="I107">
        <f t="shared" si="7"/>
        <v>111</v>
      </c>
      <c r="J107">
        <f t="shared" si="6"/>
        <v>17.5</v>
      </c>
      <c r="L107" s="1" t="s">
        <v>8</v>
      </c>
      <c r="M107">
        <v>15</v>
      </c>
    </row>
    <row r="108" spans="1:13">
      <c r="A108" s="1" t="s">
        <v>8</v>
      </c>
      <c r="B108">
        <f t="shared" si="5"/>
        <v>8</v>
      </c>
      <c r="C108">
        <f t="shared" si="5"/>
        <v>16</v>
      </c>
      <c r="D108">
        <f t="shared" si="5"/>
        <v>19</v>
      </c>
      <c r="E108">
        <f t="shared" si="5"/>
        <v>14</v>
      </c>
      <c r="F108">
        <f t="shared" si="5"/>
        <v>19</v>
      </c>
      <c r="G108">
        <f t="shared" si="5"/>
        <v>15</v>
      </c>
      <c r="H108">
        <f t="shared" si="5"/>
        <v>13</v>
      </c>
      <c r="I108">
        <f t="shared" si="7"/>
        <v>104</v>
      </c>
      <c r="J108">
        <f t="shared" si="6"/>
        <v>15</v>
      </c>
      <c r="L108" s="1" t="s">
        <v>12</v>
      </c>
      <c r="M108">
        <v>14</v>
      </c>
    </row>
    <row r="109" spans="1:13">
      <c r="A109" s="1" t="s">
        <v>9</v>
      </c>
      <c r="B109">
        <f t="shared" si="5"/>
        <v>20</v>
      </c>
      <c r="C109">
        <f t="shared" si="5"/>
        <v>14</v>
      </c>
      <c r="D109">
        <f t="shared" si="5"/>
        <v>16.5</v>
      </c>
      <c r="E109">
        <f t="shared" si="5"/>
        <v>16</v>
      </c>
      <c r="F109">
        <f t="shared" si="5"/>
        <v>16</v>
      </c>
      <c r="G109">
        <f t="shared" si="5"/>
        <v>17.5</v>
      </c>
      <c r="H109">
        <f t="shared" si="5"/>
        <v>15.5</v>
      </c>
      <c r="I109">
        <f t="shared" si="7"/>
        <v>115.5</v>
      </c>
      <c r="J109">
        <f t="shared" si="6"/>
        <v>19</v>
      </c>
      <c r="L109" s="1" t="s">
        <v>10</v>
      </c>
      <c r="M109">
        <v>13</v>
      </c>
    </row>
    <row r="110" spans="1:13">
      <c r="A110" s="1" t="s">
        <v>10</v>
      </c>
      <c r="B110">
        <f t="shared" si="5"/>
        <v>15</v>
      </c>
      <c r="C110">
        <f t="shared" si="5"/>
        <v>11</v>
      </c>
      <c r="D110">
        <f t="shared" si="5"/>
        <v>13</v>
      </c>
      <c r="E110">
        <f t="shared" si="5"/>
        <v>15</v>
      </c>
      <c r="F110">
        <f t="shared" si="5"/>
        <v>13</v>
      </c>
      <c r="G110">
        <f t="shared" si="5"/>
        <v>12</v>
      </c>
      <c r="H110">
        <f t="shared" si="5"/>
        <v>12</v>
      </c>
      <c r="I110">
        <f t="shared" si="7"/>
        <v>91</v>
      </c>
      <c r="J110">
        <f t="shared" si="6"/>
        <v>13</v>
      </c>
      <c r="L110" s="1" t="s">
        <v>4</v>
      </c>
      <c r="M110">
        <v>12</v>
      </c>
    </row>
    <row r="111" spans="1:13">
      <c r="A111" s="1" t="s">
        <v>11</v>
      </c>
      <c r="B111">
        <f t="shared" si="5"/>
        <v>16</v>
      </c>
      <c r="C111">
        <f t="shared" si="5"/>
        <v>8</v>
      </c>
      <c r="D111">
        <f t="shared" si="5"/>
        <v>12</v>
      </c>
      <c r="E111">
        <f t="shared" si="5"/>
        <v>10</v>
      </c>
      <c r="F111">
        <f t="shared" si="5"/>
        <v>8</v>
      </c>
      <c r="G111">
        <f t="shared" si="5"/>
        <v>10</v>
      </c>
      <c r="H111">
        <f t="shared" si="5"/>
        <v>17</v>
      </c>
      <c r="I111">
        <f t="shared" si="7"/>
        <v>81</v>
      </c>
      <c r="J111">
        <f t="shared" si="6"/>
        <v>10.5</v>
      </c>
      <c r="L111" s="1" t="s">
        <v>0</v>
      </c>
      <c r="M111">
        <v>10.5</v>
      </c>
    </row>
    <row r="112" spans="1:13">
      <c r="A112" s="1" t="s">
        <v>12</v>
      </c>
      <c r="B112">
        <f t="shared" ref="B112:H121" si="8">_xlfn.RANK.AVG(B82,B$72:B$91, 1)</f>
        <v>11.5</v>
      </c>
      <c r="C112">
        <f t="shared" si="8"/>
        <v>19.5</v>
      </c>
      <c r="D112">
        <f t="shared" si="8"/>
        <v>15</v>
      </c>
      <c r="E112">
        <f t="shared" si="8"/>
        <v>9</v>
      </c>
      <c r="F112">
        <f t="shared" si="8"/>
        <v>9</v>
      </c>
      <c r="G112">
        <f t="shared" si="8"/>
        <v>13</v>
      </c>
      <c r="H112">
        <f t="shared" si="8"/>
        <v>18</v>
      </c>
      <c r="I112">
        <f t="shared" si="7"/>
        <v>95</v>
      </c>
      <c r="J112">
        <f t="shared" si="6"/>
        <v>14</v>
      </c>
      <c r="L112" s="1" t="s">
        <v>11</v>
      </c>
      <c r="M112">
        <v>10.5</v>
      </c>
    </row>
    <row r="113" spans="1:14">
      <c r="A113" s="1" t="s">
        <v>13</v>
      </c>
      <c r="B113">
        <f t="shared" si="8"/>
        <v>11.5</v>
      </c>
      <c r="C113">
        <f t="shared" si="8"/>
        <v>17.5</v>
      </c>
      <c r="D113">
        <f t="shared" si="8"/>
        <v>16.5</v>
      </c>
      <c r="E113">
        <f t="shared" si="8"/>
        <v>18</v>
      </c>
      <c r="F113">
        <f t="shared" si="8"/>
        <v>10</v>
      </c>
      <c r="G113">
        <f t="shared" si="8"/>
        <v>17.5</v>
      </c>
      <c r="H113">
        <f t="shared" si="8"/>
        <v>20</v>
      </c>
      <c r="I113">
        <f t="shared" si="7"/>
        <v>111</v>
      </c>
      <c r="J113">
        <f t="shared" si="6"/>
        <v>17.5</v>
      </c>
      <c r="L113" s="1" t="s">
        <v>15</v>
      </c>
      <c r="M113">
        <v>9</v>
      </c>
    </row>
    <row r="114" spans="1:14">
      <c r="A114" s="1" t="s">
        <v>14</v>
      </c>
      <c r="B114">
        <f t="shared" si="8"/>
        <v>9</v>
      </c>
      <c r="C114">
        <f t="shared" si="8"/>
        <v>9</v>
      </c>
      <c r="D114">
        <f t="shared" si="8"/>
        <v>6</v>
      </c>
      <c r="E114">
        <f t="shared" si="8"/>
        <v>7</v>
      </c>
      <c r="F114">
        <f t="shared" si="8"/>
        <v>7</v>
      </c>
      <c r="G114">
        <f t="shared" si="8"/>
        <v>8</v>
      </c>
      <c r="H114">
        <f t="shared" si="8"/>
        <v>8</v>
      </c>
      <c r="I114">
        <f t="shared" si="7"/>
        <v>54</v>
      </c>
      <c r="J114">
        <f t="shared" si="6"/>
        <v>7</v>
      </c>
      <c r="L114" s="1" t="s">
        <v>2</v>
      </c>
      <c r="M114">
        <v>8</v>
      </c>
    </row>
    <row r="115" spans="1:14">
      <c r="A115" s="1" t="s">
        <v>15</v>
      </c>
      <c r="B115">
        <f t="shared" si="8"/>
        <v>18</v>
      </c>
      <c r="C115">
        <f t="shared" si="8"/>
        <v>12</v>
      </c>
      <c r="D115">
        <f t="shared" si="8"/>
        <v>10</v>
      </c>
      <c r="E115">
        <f t="shared" si="8"/>
        <v>5</v>
      </c>
      <c r="F115">
        <f t="shared" si="8"/>
        <v>6</v>
      </c>
      <c r="G115">
        <f t="shared" si="8"/>
        <v>6</v>
      </c>
      <c r="H115">
        <f t="shared" si="8"/>
        <v>10</v>
      </c>
      <c r="I115">
        <f t="shared" si="7"/>
        <v>67</v>
      </c>
      <c r="J115">
        <f t="shared" si="6"/>
        <v>9</v>
      </c>
      <c r="L115" s="1" t="s">
        <v>14</v>
      </c>
      <c r="M115">
        <v>7</v>
      </c>
    </row>
    <row r="116" spans="1:14">
      <c r="A116" s="1" t="s">
        <v>16</v>
      </c>
      <c r="B116">
        <f t="shared" si="8"/>
        <v>2</v>
      </c>
      <c r="C116">
        <f t="shared" si="8"/>
        <v>13</v>
      </c>
      <c r="D116">
        <f t="shared" si="8"/>
        <v>7</v>
      </c>
      <c r="E116">
        <f t="shared" si="8"/>
        <v>6</v>
      </c>
      <c r="F116">
        <f t="shared" si="8"/>
        <v>1</v>
      </c>
      <c r="G116">
        <f t="shared" si="8"/>
        <v>2</v>
      </c>
      <c r="H116">
        <f t="shared" si="8"/>
        <v>3</v>
      </c>
      <c r="I116">
        <f t="shared" si="7"/>
        <v>34</v>
      </c>
      <c r="J116">
        <f t="shared" si="6"/>
        <v>5</v>
      </c>
      <c r="L116" s="1" t="s">
        <v>21</v>
      </c>
      <c r="M116">
        <v>6</v>
      </c>
    </row>
    <row r="117" spans="1:14">
      <c r="A117" s="1" t="s">
        <v>17</v>
      </c>
      <c r="B117">
        <f t="shared" si="8"/>
        <v>4</v>
      </c>
      <c r="C117">
        <f t="shared" si="8"/>
        <v>3</v>
      </c>
      <c r="D117">
        <f t="shared" si="8"/>
        <v>3</v>
      </c>
      <c r="E117">
        <f t="shared" si="8"/>
        <v>4</v>
      </c>
      <c r="F117">
        <f t="shared" si="8"/>
        <v>5</v>
      </c>
      <c r="G117">
        <f t="shared" si="8"/>
        <v>5</v>
      </c>
      <c r="H117">
        <f t="shared" si="8"/>
        <v>2</v>
      </c>
      <c r="I117">
        <f t="shared" si="7"/>
        <v>26</v>
      </c>
      <c r="J117">
        <f t="shared" si="6"/>
        <v>3</v>
      </c>
      <c r="L117" s="1" t="s">
        <v>16</v>
      </c>
      <c r="M117">
        <v>5</v>
      </c>
    </row>
    <row r="118" spans="1:14">
      <c r="A118" s="1" t="s">
        <v>18</v>
      </c>
      <c r="B118">
        <f t="shared" si="8"/>
        <v>5</v>
      </c>
      <c r="C118">
        <f t="shared" si="8"/>
        <v>5</v>
      </c>
      <c r="D118">
        <f t="shared" si="8"/>
        <v>4</v>
      </c>
      <c r="E118">
        <f t="shared" si="8"/>
        <v>3</v>
      </c>
      <c r="F118">
        <f t="shared" si="8"/>
        <v>3</v>
      </c>
      <c r="G118">
        <f t="shared" si="8"/>
        <v>4</v>
      </c>
      <c r="H118">
        <f t="shared" si="8"/>
        <v>6</v>
      </c>
      <c r="I118">
        <f t="shared" si="7"/>
        <v>30</v>
      </c>
      <c r="J118">
        <f t="shared" si="6"/>
        <v>4</v>
      </c>
      <c r="L118" s="1" t="s">
        <v>18</v>
      </c>
      <c r="M118">
        <v>4</v>
      </c>
    </row>
    <row r="119" spans="1:14">
      <c r="A119" s="1" t="s">
        <v>19</v>
      </c>
      <c r="B119">
        <f t="shared" si="8"/>
        <v>1</v>
      </c>
      <c r="C119">
        <f t="shared" si="8"/>
        <v>7</v>
      </c>
      <c r="D119">
        <f t="shared" si="8"/>
        <v>5</v>
      </c>
      <c r="E119">
        <f t="shared" si="8"/>
        <v>2</v>
      </c>
      <c r="F119">
        <f t="shared" si="8"/>
        <v>4</v>
      </c>
      <c r="G119">
        <f t="shared" si="8"/>
        <v>1</v>
      </c>
      <c r="H119">
        <f t="shared" si="8"/>
        <v>5</v>
      </c>
      <c r="I119">
        <f t="shared" si="7"/>
        <v>25</v>
      </c>
      <c r="J119">
        <f t="shared" si="6"/>
        <v>2</v>
      </c>
      <c r="L119" s="1" t="s">
        <v>17</v>
      </c>
      <c r="M119">
        <v>3</v>
      </c>
    </row>
    <row r="120" spans="1:14">
      <c r="A120" s="1" t="s">
        <v>20</v>
      </c>
      <c r="B120">
        <f t="shared" si="8"/>
        <v>6</v>
      </c>
      <c r="C120">
        <f t="shared" si="8"/>
        <v>2</v>
      </c>
      <c r="D120">
        <f t="shared" si="8"/>
        <v>2</v>
      </c>
      <c r="E120">
        <f t="shared" si="8"/>
        <v>1</v>
      </c>
      <c r="F120">
        <f t="shared" si="8"/>
        <v>2</v>
      </c>
      <c r="G120">
        <f t="shared" si="8"/>
        <v>3</v>
      </c>
      <c r="H120">
        <f t="shared" si="8"/>
        <v>1</v>
      </c>
      <c r="I120">
        <f t="shared" si="7"/>
        <v>17</v>
      </c>
      <c r="J120">
        <f t="shared" si="6"/>
        <v>1</v>
      </c>
      <c r="L120" s="1" t="s">
        <v>19</v>
      </c>
      <c r="M120">
        <v>2</v>
      </c>
    </row>
    <row r="121" spans="1:14">
      <c r="A121" s="1" t="s">
        <v>21</v>
      </c>
      <c r="B121">
        <f t="shared" si="8"/>
        <v>19</v>
      </c>
      <c r="C121">
        <f t="shared" si="8"/>
        <v>1</v>
      </c>
      <c r="D121">
        <f t="shared" si="8"/>
        <v>1</v>
      </c>
      <c r="E121">
        <f t="shared" si="8"/>
        <v>8</v>
      </c>
      <c r="F121">
        <f t="shared" si="8"/>
        <v>11</v>
      </c>
      <c r="G121">
        <f t="shared" si="8"/>
        <v>7</v>
      </c>
      <c r="H121">
        <f t="shared" si="8"/>
        <v>4</v>
      </c>
      <c r="I121">
        <f>SUM(B121:H121)</f>
        <v>51</v>
      </c>
      <c r="J121">
        <f t="shared" si="6"/>
        <v>6</v>
      </c>
      <c r="L121" s="1" t="s">
        <v>20</v>
      </c>
      <c r="M121">
        <v>1</v>
      </c>
    </row>
    <row r="123" spans="1:14" s="55" customFormat="1">
      <c r="A123" s="53" t="s">
        <v>166</v>
      </c>
      <c r="B123" s="54"/>
      <c r="C123" s="54"/>
      <c r="D123" s="64"/>
    </row>
    <row r="124" spans="1:14">
      <c r="A124" s="46" t="s">
        <v>84</v>
      </c>
      <c r="B124" s="46" t="s">
        <v>32</v>
      </c>
      <c r="C124" s="46" t="s">
        <v>139</v>
      </c>
      <c r="D124" s="46" t="s">
        <v>140</v>
      </c>
      <c r="E124" s="46" t="s">
        <v>49</v>
      </c>
      <c r="F124" s="46" t="s">
        <v>50</v>
      </c>
      <c r="G124" s="46" t="s">
        <v>46</v>
      </c>
      <c r="H124" s="46" t="s">
        <v>37</v>
      </c>
      <c r="I124" s="46" t="s">
        <v>151</v>
      </c>
      <c r="J124" s="46" t="s">
        <v>152</v>
      </c>
      <c r="L124" s="46" t="s">
        <v>84</v>
      </c>
      <c r="M124" s="46" t="s">
        <v>152</v>
      </c>
      <c r="N124" s="46"/>
    </row>
    <row r="125" spans="1:14">
      <c r="A125" s="1" t="s">
        <v>0</v>
      </c>
      <c r="B125" s="49">
        <f t="shared" ref="B125:H134" si="9">B72/B$66</f>
        <v>1.1306818181818179</v>
      </c>
      <c r="C125" s="49">
        <f t="shared" si="9"/>
        <v>1.0407166123778502</v>
      </c>
      <c r="D125" s="49">
        <f t="shared" si="9"/>
        <v>1.072695035460993</v>
      </c>
      <c r="E125" s="49">
        <f t="shared" si="9"/>
        <v>0.99715909090909083</v>
      </c>
      <c r="F125" s="49">
        <f t="shared" si="9"/>
        <v>1.1098591549295773</v>
      </c>
      <c r="G125" s="49">
        <f t="shared" si="9"/>
        <v>1.0762527233115469</v>
      </c>
      <c r="H125" s="49">
        <f t="shared" si="9"/>
        <v>0.96405228758169925</v>
      </c>
      <c r="I125" s="49">
        <f>SUM(B125:H125)/7</f>
        <v>1.0559166746789392</v>
      </c>
      <c r="J125">
        <f t="shared" ref="J125:J144" si="10">_xlfn.RANK.AVG(I125,I$125:I$144,1)</f>
        <v>11</v>
      </c>
      <c r="L125" s="1" t="s">
        <v>9</v>
      </c>
      <c r="M125">
        <v>20</v>
      </c>
    </row>
    <row r="126" spans="1:14">
      <c r="A126" s="1" t="s">
        <v>87</v>
      </c>
      <c r="B126" s="49">
        <f t="shared" si="9"/>
        <v>1.1931818181818181</v>
      </c>
      <c r="C126" s="49">
        <f t="shared" si="9"/>
        <v>1.1416938110749184</v>
      </c>
      <c r="D126" s="49">
        <f t="shared" si="9"/>
        <v>1.1347517730496455</v>
      </c>
      <c r="E126" s="49">
        <f t="shared" si="9"/>
        <v>1.0284090909090908</v>
      </c>
      <c r="F126" s="49">
        <f t="shared" si="9"/>
        <v>1.3323943661971831</v>
      </c>
      <c r="G126" s="49">
        <f t="shared" si="9"/>
        <v>1.0392156862745099</v>
      </c>
      <c r="H126" s="49">
        <f t="shared" si="9"/>
        <v>1.0620915032679739</v>
      </c>
      <c r="I126" s="49">
        <f t="shared" ref="I126:I144" si="11">SUM(B126:H126)/7</f>
        <v>1.1331054355650199</v>
      </c>
      <c r="J126">
        <f t="shared" si="10"/>
        <v>18</v>
      </c>
      <c r="L126" s="1" t="s">
        <v>3</v>
      </c>
      <c r="M126">
        <v>19</v>
      </c>
    </row>
    <row r="127" spans="1:14">
      <c r="A127" s="1" t="s">
        <v>2</v>
      </c>
      <c r="B127" s="49">
        <f t="shared" si="9"/>
        <v>0.74715909090909083</v>
      </c>
      <c r="C127" s="49">
        <f t="shared" si="9"/>
        <v>0.9771986970684039</v>
      </c>
      <c r="D127" s="49">
        <f t="shared" si="9"/>
        <v>0.9893617021276595</v>
      </c>
      <c r="E127" s="49">
        <f t="shared" si="9"/>
        <v>1.0284090909090908</v>
      </c>
      <c r="F127" s="49">
        <f t="shared" si="9"/>
        <v>1.1183098591549296</v>
      </c>
      <c r="G127" s="49">
        <f t="shared" si="9"/>
        <v>1.0261437908496733</v>
      </c>
      <c r="H127" s="49">
        <f t="shared" si="9"/>
        <v>1.0196078431372548</v>
      </c>
      <c r="I127" s="49">
        <f t="shared" si="11"/>
        <v>0.98659858202230033</v>
      </c>
      <c r="J127">
        <f t="shared" si="10"/>
        <v>9</v>
      </c>
      <c r="L127" s="1" t="s">
        <v>87</v>
      </c>
      <c r="M127">
        <v>18</v>
      </c>
    </row>
    <row r="128" spans="1:14">
      <c r="A128" s="1" t="s">
        <v>3</v>
      </c>
      <c r="B128" s="49">
        <f t="shared" si="9"/>
        <v>1.1136363636363635</v>
      </c>
      <c r="C128" s="49">
        <f t="shared" si="9"/>
        <v>1.0863192182410424</v>
      </c>
      <c r="D128" s="49">
        <f t="shared" si="9"/>
        <v>1.1453900709219857</v>
      </c>
      <c r="E128" s="49">
        <f t="shared" si="9"/>
        <v>1.1676136363636362</v>
      </c>
      <c r="F128" s="49">
        <f t="shared" si="9"/>
        <v>1.2422535211267607</v>
      </c>
      <c r="G128" s="49">
        <f t="shared" si="9"/>
        <v>1.1633986928104576</v>
      </c>
      <c r="H128" s="49">
        <f t="shared" si="9"/>
        <v>1.150326797385621</v>
      </c>
      <c r="I128" s="49">
        <f t="shared" si="11"/>
        <v>1.1527054714979812</v>
      </c>
      <c r="J128">
        <f t="shared" si="10"/>
        <v>19</v>
      </c>
      <c r="L128" s="1" t="s">
        <v>13</v>
      </c>
      <c r="M128">
        <v>17</v>
      </c>
    </row>
    <row r="129" spans="1:13">
      <c r="A129" s="1" t="s">
        <v>4</v>
      </c>
      <c r="B129" s="49">
        <f t="shared" si="9"/>
        <v>0.86931818181818177</v>
      </c>
      <c r="C129" s="49">
        <f t="shared" si="9"/>
        <v>0.88762214983713361</v>
      </c>
      <c r="D129" s="49">
        <f t="shared" si="9"/>
        <v>1.0248226950354609</v>
      </c>
      <c r="E129" s="49">
        <f t="shared" si="9"/>
        <v>1.2272727272727273</v>
      </c>
      <c r="F129" s="49">
        <f t="shared" si="9"/>
        <v>1.4816901408450704</v>
      </c>
      <c r="G129" s="49">
        <f t="shared" si="9"/>
        <v>1.1437908496732025</v>
      </c>
      <c r="H129" s="49">
        <f t="shared" si="9"/>
        <v>0.93137254901960775</v>
      </c>
      <c r="I129" s="49">
        <f>SUM(B129:H129)/7</f>
        <v>1.0808413276430551</v>
      </c>
      <c r="J129">
        <f t="shared" si="10"/>
        <v>14</v>
      </c>
      <c r="L129" s="1" t="s">
        <v>7</v>
      </c>
      <c r="M129">
        <v>16</v>
      </c>
    </row>
    <row r="130" spans="1:13">
      <c r="A130" s="1" t="s">
        <v>7</v>
      </c>
      <c r="B130" s="49">
        <f t="shared" si="9"/>
        <v>1.0340909090909089</v>
      </c>
      <c r="C130" s="49">
        <f t="shared" si="9"/>
        <v>1.1074918566775245</v>
      </c>
      <c r="D130" s="49">
        <f t="shared" si="9"/>
        <v>1.2251773049645389</v>
      </c>
      <c r="E130" s="49">
        <f t="shared" si="9"/>
        <v>1.1278409090909092</v>
      </c>
      <c r="F130" s="49">
        <f t="shared" si="9"/>
        <v>1.1549295774647887</v>
      </c>
      <c r="G130" s="49">
        <f t="shared" si="9"/>
        <v>1.0915032679738563</v>
      </c>
      <c r="H130" s="49">
        <f t="shared" si="9"/>
        <v>1.0751633986928104</v>
      </c>
      <c r="I130" s="49">
        <f t="shared" si="11"/>
        <v>1.116599603422191</v>
      </c>
      <c r="J130">
        <f t="shared" si="10"/>
        <v>16</v>
      </c>
      <c r="L130" s="1" t="s">
        <v>8</v>
      </c>
      <c r="M130">
        <v>15</v>
      </c>
    </row>
    <row r="131" spans="1:13">
      <c r="A131" s="1" t="s">
        <v>8</v>
      </c>
      <c r="B131" s="49">
        <f t="shared" si="9"/>
        <v>0.91477272727272729</v>
      </c>
      <c r="C131" s="49">
        <f t="shared" si="9"/>
        <v>1.0912052117263844</v>
      </c>
      <c r="D131" s="49">
        <f t="shared" si="9"/>
        <v>1.1826241134751774</v>
      </c>
      <c r="E131" s="49">
        <f t="shared" si="9"/>
        <v>1.0568181818181819</v>
      </c>
      <c r="F131" s="49">
        <f t="shared" si="9"/>
        <v>1.3830985915492957</v>
      </c>
      <c r="G131" s="49">
        <f t="shared" si="9"/>
        <v>1.0871459694989107</v>
      </c>
      <c r="H131" s="49">
        <f t="shared" si="9"/>
        <v>1.0326797385620916</v>
      </c>
      <c r="I131" s="49">
        <f t="shared" si="11"/>
        <v>1.1069063619861097</v>
      </c>
      <c r="J131">
        <f t="shared" si="10"/>
        <v>15</v>
      </c>
      <c r="L131" s="1" t="s">
        <v>4</v>
      </c>
      <c r="M131">
        <v>14</v>
      </c>
    </row>
    <row r="132" spans="1:13">
      <c r="A132" s="1" t="s">
        <v>9</v>
      </c>
      <c r="B132" s="49">
        <f t="shared" si="9"/>
        <v>1.4119318181818181</v>
      </c>
      <c r="C132" s="49">
        <f t="shared" si="9"/>
        <v>1.0765472312703583</v>
      </c>
      <c r="D132" s="49">
        <f t="shared" si="9"/>
        <v>1.1418439716312059</v>
      </c>
      <c r="E132" s="49">
        <f t="shared" si="9"/>
        <v>1.09375</v>
      </c>
      <c r="F132" s="49">
        <f t="shared" si="9"/>
        <v>1.1859154929577465</v>
      </c>
      <c r="G132" s="49">
        <f t="shared" si="9"/>
        <v>1.122004357298475</v>
      </c>
      <c r="H132" s="49">
        <f t="shared" si="9"/>
        <v>1.0751633986928104</v>
      </c>
      <c r="I132" s="49">
        <f t="shared" si="11"/>
        <v>1.1581651814332019</v>
      </c>
      <c r="J132">
        <f t="shared" si="10"/>
        <v>20</v>
      </c>
      <c r="L132" s="1" t="s">
        <v>10</v>
      </c>
      <c r="M132">
        <v>13</v>
      </c>
    </row>
    <row r="133" spans="1:13">
      <c r="A133" s="1" t="s">
        <v>10</v>
      </c>
      <c r="B133" s="49">
        <f t="shared" si="9"/>
        <v>1.1335227272727271</v>
      </c>
      <c r="C133" s="49">
        <f t="shared" si="9"/>
        <v>1.0456026058631922</v>
      </c>
      <c r="D133" s="49">
        <f t="shared" si="9"/>
        <v>1.0992907801418439</v>
      </c>
      <c r="E133" s="49">
        <f t="shared" si="9"/>
        <v>1.0681818181818181</v>
      </c>
      <c r="F133" s="49">
        <f t="shared" si="9"/>
        <v>1.1126760563380282</v>
      </c>
      <c r="G133" s="49">
        <f t="shared" si="9"/>
        <v>1.056644880174292</v>
      </c>
      <c r="H133" s="49">
        <f t="shared" si="9"/>
        <v>1.022875816993464</v>
      </c>
      <c r="I133" s="49">
        <f t="shared" si="11"/>
        <v>1.0769706692807666</v>
      </c>
      <c r="J133">
        <f t="shared" si="10"/>
        <v>13</v>
      </c>
      <c r="L133" s="1" t="s">
        <v>12</v>
      </c>
      <c r="M133">
        <v>12</v>
      </c>
    </row>
    <row r="134" spans="1:13">
      <c r="A134" s="1" t="s">
        <v>11</v>
      </c>
      <c r="B134" s="49">
        <f t="shared" si="9"/>
        <v>1.1505681818181817</v>
      </c>
      <c r="C134" s="49">
        <f t="shared" si="9"/>
        <v>1.0260586319218241</v>
      </c>
      <c r="D134" s="49">
        <f t="shared" si="9"/>
        <v>1.074468085106383</v>
      </c>
      <c r="E134" s="49">
        <f t="shared" si="9"/>
        <v>0.97443181818181801</v>
      </c>
      <c r="F134" s="49">
        <f t="shared" si="9"/>
        <v>0.94366197183098588</v>
      </c>
      <c r="G134" s="49">
        <f t="shared" si="9"/>
        <v>1.0326797385620916</v>
      </c>
      <c r="H134" s="49">
        <f t="shared" si="9"/>
        <v>1.1241830065359477</v>
      </c>
      <c r="I134" s="49">
        <f t="shared" si="11"/>
        <v>1.0465787762796046</v>
      </c>
      <c r="J134">
        <f t="shared" si="10"/>
        <v>10</v>
      </c>
      <c r="L134" s="1" t="s">
        <v>0</v>
      </c>
      <c r="M134">
        <v>11</v>
      </c>
    </row>
    <row r="135" spans="1:13">
      <c r="A135" s="1" t="s">
        <v>12</v>
      </c>
      <c r="B135" s="49">
        <f t="shared" ref="B135:H144" si="12">B82/B$66</f>
        <v>1.0965909090909089</v>
      </c>
      <c r="C135" s="49">
        <f t="shared" si="12"/>
        <v>1.1416938110749184</v>
      </c>
      <c r="D135" s="49">
        <f t="shared" si="12"/>
        <v>1.1382978723404256</v>
      </c>
      <c r="E135" s="49">
        <f t="shared" si="12"/>
        <v>0.94034090909090906</v>
      </c>
      <c r="F135" s="49">
        <f t="shared" si="12"/>
        <v>1.0056338028169014</v>
      </c>
      <c r="G135" s="49">
        <f t="shared" si="12"/>
        <v>1.0631808278867103</v>
      </c>
      <c r="H135" s="49">
        <f t="shared" si="12"/>
        <v>1.1372549019607843</v>
      </c>
      <c r="I135" s="49">
        <f t="shared" si="11"/>
        <v>1.0747132906087942</v>
      </c>
      <c r="J135">
        <f t="shared" si="10"/>
        <v>12</v>
      </c>
      <c r="L135" s="1" t="s">
        <v>11</v>
      </c>
      <c r="M135">
        <v>10</v>
      </c>
    </row>
    <row r="136" spans="1:13">
      <c r="A136" s="1" t="s">
        <v>13</v>
      </c>
      <c r="B136" s="49">
        <f t="shared" si="12"/>
        <v>1.0965909090909089</v>
      </c>
      <c r="C136" s="49">
        <f t="shared" si="12"/>
        <v>1.1074918566775245</v>
      </c>
      <c r="D136" s="49">
        <f t="shared" si="12"/>
        <v>1.1418439716312059</v>
      </c>
      <c r="E136" s="49">
        <f t="shared" si="12"/>
        <v>1.1534090909090908</v>
      </c>
      <c r="F136" s="49">
        <f t="shared" si="12"/>
        <v>1.0338028169014086</v>
      </c>
      <c r="G136" s="49">
        <f t="shared" si="12"/>
        <v>1.122004357298475</v>
      </c>
      <c r="H136" s="49">
        <f t="shared" si="12"/>
        <v>1.2549019607843137</v>
      </c>
      <c r="I136" s="49">
        <f t="shared" si="11"/>
        <v>1.1300064233275611</v>
      </c>
      <c r="J136">
        <f t="shared" si="10"/>
        <v>17</v>
      </c>
      <c r="L136" s="1" t="s">
        <v>2</v>
      </c>
      <c r="M136">
        <v>9</v>
      </c>
    </row>
    <row r="137" spans="1:13">
      <c r="A137" s="1" t="s">
        <v>14</v>
      </c>
      <c r="B137" s="49">
        <f t="shared" si="12"/>
        <v>0.92329545454545447</v>
      </c>
      <c r="C137" s="49">
        <f t="shared" si="12"/>
        <v>1.0374592833876222</v>
      </c>
      <c r="D137" s="49">
        <f t="shared" si="12"/>
        <v>0.97695035460992907</v>
      </c>
      <c r="E137" s="49">
        <f t="shared" si="12"/>
        <v>0.87784090909090895</v>
      </c>
      <c r="F137" s="49">
        <f t="shared" si="12"/>
        <v>0.90704225352112688</v>
      </c>
      <c r="G137" s="49">
        <f t="shared" si="12"/>
        <v>0.98257080610021796</v>
      </c>
      <c r="H137" s="49">
        <f t="shared" si="12"/>
        <v>0.9509803921568627</v>
      </c>
      <c r="I137" s="49">
        <f t="shared" si="11"/>
        <v>0.95087706477316036</v>
      </c>
      <c r="J137">
        <f t="shared" si="10"/>
        <v>7</v>
      </c>
      <c r="L137" s="1" t="s">
        <v>15</v>
      </c>
      <c r="M137">
        <v>8</v>
      </c>
    </row>
    <row r="138" spans="1:13">
      <c r="A138" s="1" t="s">
        <v>15</v>
      </c>
      <c r="B138" s="49">
        <f t="shared" si="12"/>
        <v>1.2159090909090908</v>
      </c>
      <c r="C138" s="49">
        <f t="shared" si="12"/>
        <v>1.0472312703583062</v>
      </c>
      <c r="D138" s="49">
        <f t="shared" si="12"/>
        <v>1.0265957446808511</v>
      </c>
      <c r="E138" s="49">
        <f t="shared" si="12"/>
        <v>0.84090909090909083</v>
      </c>
      <c r="F138" s="49">
        <f t="shared" si="12"/>
        <v>0.79436619718309853</v>
      </c>
      <c r="G138" s="49">
        <f t="shared" si="12"/>
        <v>0.88453159041394336</v>
      </c>
      <c r="H138" s="49">
        <f t="shared" si="12"/>
        <v>1.0098039215686274</v>
      </c>
      <c r="I138" s="49">
        <f t="shared" si="11"/>
        <v>0.97419241514614396</v>
      </c>
      <c r="J138">
        <f t="shared" si="10"/>
        <v>8</v>
      </c>
      <c r="L138" s="1" t="s">
        <v>14</v>
      </c>
      <c r="M138">
        <v>7</v>
      </c>
    </row>
    <row r="139" spans="1:13">
      <c r="A139" s="1" t="s">
        <v>16</v>
      </c>
      <c r="B139" s="49">
        <f t="shared" si="12"/>
        <v>0.6789772727272726</v>
      </c>
      <c r="C139" s="49">
        <f t="shared" si="12"/>
        <v>1.0537459283387622</v>
      </c>
      <c r="D139" s="49">
        <f t="shared" si="12"/>
        <v>0.97872340425531923</v>
      </c>
      <c r="E139" s="49">
        <f t="shared" si="12"/>
        <v>0.86931818181818177</v>
      </c>
      <c r="F139" s="49">
        <f t="shared" si="12"/>
        <v>0.60281690140845068</v>
      </c>
      <c r="G139" s="49">
        <f t="shared" si="12"/>
        <v>0.70806100217864931</v>
      </c>
      <c r="H139" s="49">
        <f t="shared" si="12"/>
        <v>0.86928104575163401</v>
      </c>
      <c r="I139" s="49">
        <f t="shared" si="11"/>
        <v>0.82298910521118152</v>
      </c>
      <c r="J139">
        <f t="shared" si="10"/>
        <v>5</v>
      </c>
      <c r="L139" s="1" t="s">
        <v>21</v>
      </c>
      <c r="M139">
        <v>6</v>
      </c>
    </row>
    <row r="140" spans="1:13">
      <c r="A140" s="1" t="s">
        <v>17</v>
      </c>
      <c r="B140" s="49">
        <f t="shared" si="12"/>
        <v>0.76988636363636365</v>
      </c>
      <c r="C140" s="49">
        <f t="shared" si="12"/>
        <v>0.87785016286644946</v>
      </c>
      <c r="D140" s="49">
        <f t="shared" si="12"/>
        <v>0.75</v>
      </c>
      <c r="E140" s="49">
        <f t="shared" si="12"/>
        <v>0.79545454545454541</v>
      </c>
      <c r="F140" s="49">
        <f t="shared" si="12"/>
        <v>0.6873239436619718</v>
      </c>
      <c r="G140" s="49">
        <f t="shared" si="12"/>
        <v>0.84749455337690627</v>
      </c>
      <c r="H140" s="49">
        <f t="shared" si="12"/>
        <v>0.74509803921568629</v>
      </c>
      <c r="I140" s="49">
        <f t="shared" si="11"/>
        <v>0.78187251545884617</v>
      </c>
      <c r="J140">
        <f t="shared" si="10"/>
        <v>2</v>
      </c>
      <c r="L140" s="1" t="s">
        <v>16</v>
      </c>
      <c r="M140">
        <v>5</v>
      </c>
    </row>
    <row r="141" spans="1:13">
      <c r="A141" s="1" t="s">
        <v>18</v>
      </c>
      <c r="B141" s="49">
        <f t="shared" si="12"/>
        <v>0.78124999999999989</v>
      </c>
      <c r="C141" s="49">
        <f t="shared" si="12"/>
        <v>0.95602605863192192</v>
      </c>
      <c r="D141" s="49">
        <f t="shared" si="12"/>
        <v>0.8936170212765957</v>
      </c>
      <c r="E141" s="49">
        <f t="shared" si="12"/>
        <v>0.72443181818181812</v>
      </c>
      <c r="F141" s="49">
        <f t="shared" si="12"/>
        <v>0.62816901408450709</v>
      </c>
      <c r="G141" s="49">
        <f t="shared" si="12"/>
        <v>0.76906318082788672</v>
      </c>
      <c r="H141" s="49">
        <f t="shared" si="12"/>
        <v>0.90849673202614378</v>
      </c>
      <c r="I141" s="49">
        <f t="shared" si="11"/>
        <v>0.80872197500412479</v>
      </c>
      <c r="J141">
        <f t="shared" si="10"/>
        <v>4</v>
      </c>
      <c r="L141" s="1" t="s">
        <v>18</v>
      </c>
      <c r="M141">
        <v>4</v>
      </c>
    </row>
    <row r="142" spans="1:13">
      <c r="A142" s="1" t="s">
        <v>19</v>
      </c>
      <c r="B142" s="49">
        <f t="shared" si="12"/>
        <v>0.64772727272727271</v>
      </c>
      <c r="C142" s="49">
        <f t="shared" si="12"/>
        <v>0.99022801302931596</v>
      </c>
      <c r="D142" s="49">
        <f t="shared" si="12"/>
        <v>0.9042553191489362</v>
      </c>
      <c r="E142" s="49">
        <f t="shared" si="12"/>
        <v>0.70738636363636354</v>
      </c>
      <c r="F142" s="49">
        <f t="shared" si="12"/>
        <v>0.6422535211267606</v>
      </c>
      <c r="G142" s="49">
        <f t="shared" si="12"/>
        <v>0.70152505446623104</v>
      </c>
      <c r="H142" s="49">
        <f t="shared" si="12"/>
        <v>0.90196078431372551</v>
      </c>
      <c r="I142" s="49">
        <f t="shared" si="11"/>
        <v>0.78504804692122931</v>
      </c>
      <c r="J142">
        <f t="shared" si="10"/>
        <v>3</v>
      </c>
      <c r="L142" s="1" t="s">
        <v>19</v>
      </c>
      <c r="M142">
        <v>3</v>
      </c>
    </row>
    <row r="143" spans="1:13">
      <c r="A143" s="1" t="s">
        <v>20</v>
      </c>
      <c r="B143" s="49">
        <f t="shared" si="12"/>
        <v>0.78409090909090906</v>
      </c>
      <c r="C143" s="49">
        <f t="shared" si="12"/>
        <v>0.82410423452768733</v>
      </c>
      <c r="D143" s="49">
        <f t="shared" si="12"/>
        <v>0.69680851063829785</v>
      </c>
      <c r="E143" s="49">
        <f t="shared" si="12"/>
        <v>0.70170454545454541</v>
      </c>
      <c r="F143" s="49">
        <f t="shared" si="12"/>
        <v>0.61690140845070418</v>
      </c>
      <c r="G143" s="49">
        <f t="shared" si="12"/>
        <v>0.75163398692810457</v>
      </c>
      <c r="H143" s="49">
        <f t="shared" si="12"/>
        <v>0.71241830065359479</v>
      </c>
      <c r="I143" s="49">
        <f t="shared" si="11"/>
        <v>0.72680884224912046</v>
      </c>
      <c r="J143">
        <f t="shared" si="10"/>
        <v>1</v>
      </c>
      <c r="L143" s="1" t="s">
        <v>17</v>
      </c>
      <c r="M143">
        <v>2</v>
      </c>
    </row>
    <row r="144" spans="1:13">
      <c r="A144" s="1" t="s">
        <v>21</v>
      </c>
      <c r="B144" s="49">
        <f t="shared" si="12"/>
        <v>1.2982954545454546</v>
      </c>
      <c r="C144" s="49">
        <f t="shared" si="12"/>
        <v>0.81107491856677527</v>
      </c>
      <c r="D144" s="49">
        <f t="shared" si="12"/>
        <v>0.68439716312056742</v>
      </c>
      <c r="E144" s="49">
        <f t="shared" si="12"/>
        <v>0.92613636363636365</v>
      </c>
      <c r="F144" s="49">
        <f t="shared" si="12"/>
        <v>1.0704225352112675</v>
      </c>
      <c r="G144" s="49">
        <f t="shared" si="12"/>
        <v>0.94335511982570808</v>
      </c>
      <c r="H144" s="49">
        <f t="shared" si="12"/>
        <v>0.88235294117647056</v>
      </c>
      <c r="I144" s="49">
        <f t="shared" si="11"/>
        <v>0.94514778515465814</v>
      </c>
      <c r="J144">
        <f t="shared" si="10"/>
        <v>6</v>
      </c>
      <c r="L144" s="1" t="s">
        <v>20</v>
      </c>
      <c r="M144">
        <v>1</v>
      </c>
    </row>
    <row r="146" spans="1:13" s="55" customFormat="1">
      <c r="A146" s="53" t="s">
        <v>153</v>
      </c>
      <c r="B146" s="54"/>
      <c r="C146" s="54"/>
      <c r="D146" s="54"/>
    </row>
    <row r="147" spans="1:13">
      <c r="A147" s="46" t="s">
        <v>84</v>
      </c>
      <c r="B147" s="46" t="s">
        <v>32</v>
      </c>
      <c r="C147" s="46" t="s">
        <v>139</v>
      </c>
      <c r="D147" s="46" t="s">
        <v>140</v>
      </c>
      <c r="E147" s="46" t="s">
        <v>49</v>
      </c>
      <c r="F147" s="46" t="s">
        <v>50</v>
      </c>
      <c r="G147" s="46" t="s">
        <v>46</v>
      </c>
      <c r="H147" s="46" t="s">
        <v>37</v>
      </c>
      <c r="I147" s="46" t="s">
        <v>159</v>
      </c>
      <c r="J147" s="46" t="s">
        <v>155</v>
      </c>
      <c r="L147" s="46" t="s">
        <v>84</v>
      </c>
      <c r="M147" t="s">
        <v>155</v>
      </c>
    </row>
    <row r="148" spans="1:13">
      <c r="A148" s="46" t="s">
        <v>0</v>
      </c>
      <c r="B148" s="49">
        <f t="shared" ref="B148:H161" si="13">(B72/B$93)*100</f>
        <v>5.6558192411538997</v>
      </c>
      <c r="C148" s="49">
        <f t="shared" si="13"/>
        <v>5.1197820687444917</v>
      </c>
      <c r="D148" s="49">
        <f t="shared" si="13"/>
        <v>5.2889238569805066</v>
      </c>
      <c r="E148" s="49">
        <f t="shared" si="13"/>
        <v>5.1648028251912885</v>
      </c>
      <c r="F148" s="49">
        <f t="shared" si="13"/>
        <v>5.5344851805028794</v>
      </c>
      <c r="G148" s="49">
        <f t="shared" si="13"/>
        <v>5.4876694067984895</v>
      </c>
      <c r="H148" s="49">
        <f t="shared" si="13"/>
        <v>4.8615688859591302</v>
      </c>
      <c r="I148" s="49">
        <f>SUM(B148:H148)</f>
        <v>37.113051465330685</v>
      </c>
      <c r="J148" s="49">
        <f>_xlfn.RANK.AVG(I148, I$148:I$167,1 )</f>
        <v>11</v>
      </c>
      <c r="L148" s="1" t="s">
        <v>9</v>
      </c>
      <c r="M148">
        <v>20</v>
      </c>
    </row>
    <row r="149" spans="1:13">
      <c r="A149" s="46" t="s">
        <v>87</v>
      </c>
      <c r="B149" s="49">
        <f t="shared" si="13"/>
        <v>5.9684524655392917</v>
      </c>
      <c r="C149" s="49">
        <f t="shared" si="13"/>
        <v>5.6165371364474002</v>
      </c>
      <c r="D149" s="49">
        <f t="shared" si="13"/>
        <v>5.594894658624006</v>
      </c>
      <c r="E149" s="49">
        <f t="shared" si="13"/>
        <v>5.3266627427898756</v>
      </c>
      <c r="F149" s="49">
        <f t="shared" si="13"/>
        <v>6.6441915999438121</v>
      </c>
      <c r="G149" s="49">
        <f t="shared" si="13"/>
        <v>5.2988224838924696</v>
      </c>
      <c r="H149" s="49">
        <f t="shared" si="13"/>
        <v>5.3559657218193806</v>
      </c>
      <c r="I149" s="49">
        <f t="shared" ref="I149:I167" si="14">SUM(B149:H149)</f>
        <v>39.805526809056239</v>
      </c>
      <c r="J149" s="49">
        <f t="shared" ref="J149:J167" si="15">_xlfn.RANK.AVG(I149, I$148:I$167,1 )</f>
        <v>18</v>
      </c>
      <c r="L149" s="1" t="s">
        <v>3</v>
      </c>
      <c r="M149">
        <v>19</v>
      </c>
    </row>
    <row r="150" spans="1:13">
      <c r="A150" s="46" t="s">
        <v>2</v>
      </c>
      <c r="B150" s="49">
        <f t="shared" si="13"/>
        <v>3.7373880915162707</v>
      </c>
      <c r="C150" s="49">
        <f t="shared" si="13"/>
        <v>4.8073071068023401</v>
      </c>
      <c r="D150" s="49">
        <f t="shared" si="13"/>
        <v>4.8780487804878048</v>
      </c>
      <c r="E150" s="49">
        <f t="shared" si="13"/>
        <v>5.3266627427898756</v>
      </c>
      <c r="F150" s="49">
        <f t="shared" si="13"/>
        <v>5.5766259306082322</v>
      </c>
      <c r="G150" s="49">
        <f t="shared" si="13"/>
        <v>5.2321706287491674</v>
      </c>
      <c r="H150" s="49">
        <f t="shared" si="13"/>
        <v>5.1417270929466055</v>
      </c>
      <c r="I150" s="49">
        <f>SUM(B150:H150)</f>
        <v>34.699930373900294</v>
      </c>
      <c r="J150" s="49">
        <f t="shared" si="15"/>
        <v>9</v>
      </c>
      <c r="L150" s="1" t="s">
        <v>87</v>
      </c>
      <c r="M150">
        <v>18</v>
      </c>
    </row>
    <row r="151" spans="1:13">
      <c r="A151" s="46" t="s">
        <v>3</v>
      </c>
      <c r="B151" s="49">
        <f t="shared" si="13"/>
        <v>5.5705556345033393</v>
      </c>
      <c r="C151" s="49">
        <f t="shared" si="13"/>
        <v>5.3441230670619353</v>
      </c>
      <c r="D151" s="49">
        <f t="shared" si="13"/>
        <v>5.6473467960486055</v>
      </c>
      <c r="E151" s="49">
        <f t="shared" si="13"/>
        <v>6.0476751030017653</v>
      </c>
      <c r="F151" s="49">
        <f t="shared" si="13"/>
        <v>6.1946902654867264</v>
      </c>
      <c r="G151" s="49">
        <f t="shared" si="13"/>
        <v>5.9320151077538323</v>
      </c>
      <c r="H151" s="49">
        <f t="shared" si="13"/>
        <v>5.8009228740936063</v>
      </c>
      <c r="I151" s="49">
        <f t="shared" si="14"/>
        <v>40.537328847949816</v>
      </c>
      <c r="J151" s="49">
        <f t="shared" si="15"/>
        <v>19</v>
      </c>
      <c r="L151" s="1" t="s">
        <v>13</v>
      </c>
      <c r="M151">
        <v>17</v>
      </c>
    </row>
    <row r="152" spans="1:13">
      <c r="A152" s="46" t="s">
        <v>4</v>
      </c>
      <c r="B152" s="49">
        <f t="shared" si="13"/>
        <v>4.3484439391786269</v>
      </c>
      <c r="C152" s="49">
        <f t="shared" si="13"/>
        <v>4.3666372886787919</v>
      </c>
      <c r="D152" s="49">
        <f t="shared" si="13"/>
        <v>5.0528892385698052</v>
      </c>
      <c r="E152" s="49">
        <f t="shared" si="13"/>
        <v>6.3566804002354313</v>
      </c>
      <c r="F152" s="49">
        <f t="shared" si="13"/>
        <v>7.3886781851383629</v>
      </c>
      <c r="G152" s="49">
        <f t="shared" si="13"/>
        <v>5.8320373250388808</v>
      </c>
      <c r="H152" s="49">
        <f t="shared" si="13"/>
        <v>4.6967699406723806</v>
      </c>
      <c r="I152" s="49">
        <f>SUM(B152:H152)</f>
        <v>38.042136317512281</v>
      </c>
      <c r="J152" s="49">
        <f t="shared" si="15"/>
        <v>14</v>
      </c>
      <c r="L152" s="1" t="s">
        <v>7</v>
      </c>
      <c r="M152">
        <v>16</v>
      </c>
    </row>
    <row r="153" spans="1:13">
      <c r="A153" s="46" t="s">
        <v>7</v>
      </c>
      <c r="B153" s="49">
        <f t="shared" si="13"/>
        <v>5.1726588034673862</v>
      </c>
      <c r="C153" s="49">
        <f t="shared" si="13"/>
        <v>5.4482813877093186</v>
      </c>
      <c r="D153" s="49">
        <f t="shared" si="13"/>
        <v>6.0407378267331069</v>
      </c>
      <c r="E153" s="49">
        <f t="shared" si="13"/>
        <v>5.8416715715126539</v>
      </c>
      <c r="F153" s="49">
        <f t="shared" si="13"/>
        <v>5.7592358477314232</v>
      </c>
      <c r="G153" s="49">
        <f t="shared" si="13"/>
        <v>5.5654299044656748</v>
      </c>
      <c r="H153" s="49">
        <f t="shared" si="13"/>
        <v>5.4218852999340799</v>
      </c>
      <c r="I153" s="49">
        <f t="shared" si="14"/>
        <v>39.249900641553644</v>
      </c>
      <c r="J153" s="49">
        <f t="shared" si="15"/>
        <v>16</v>
      </c>
      <c r="L153" s="1" t="s">
        <v>8</v>
      </c>
      <c r="M153">
        <v>15</v>
      </c>
    </row>
    <row r="154" spans="1:13">
      <c r="A154" s="46" t="s">
        <v>8</v>
      </c>
      <c r="B154" s="49">
        <f t="shared" si="13"/>
        <v>4.5758135569134577</v>
      </c>
      <c r="C154" s="49">
        <f t="shared" si="13"/>
        <v>5.3681596025959459</v>
      </c>
      <c r="D154" s="49">
        <f t="shared" si="13"/>
        <v>5.8309292770347065</v>
      </c>
      <c r="E154" s="49">
        <f t="shared" si="13"/>
        <v>5.4738081224249546</v>
      </c>
      <c r="F154" s="49">
        <f t="shared" si="13"/>
        <v>6.8970361005759235</v>
      </c>
      <c r="G154" s="49">
        <f t="shared" si="13"/>
        <v>5.5432126194179077</v>
      </c>
      <c r="H154" s="49">
        <f t="shared" si="13"/>
        <v>5.2076466710613056</v>
      </c>
      <c r="I154" s="49">
        <f t="shared" si="14"/>
        <v>38.896605950024203</v>
      </c>
      <c r="J154" s="49">
        <f>_xlfn.RANK.AVG(I154, I$148:I$167,1 )</f>
        <v>15</v>
      </c>
      <c r="L154" s="1" t="s">
        <v>4</v>
      </c>
      <c r="M154">
        <v>14</v>
      </c>
    </row>
    <row r="155" spans="1:13">
      <c r="A155" s="46" t="s">
        <v>9</v>
      </c>
      <c r="B155" s="49">
        <f t="shared" si="13"/>
        <v>7.0626687508881627</v>
      </c>
      <c r="C155" s="49">
        <f t="shared" si="13"/>
        <v>5.2960499959939105</v>
      </c>
      <c r="D155" s="49">
        <f t="shared" si="13"/>
        <v>5.6298627502404068</v>
      </c>
      <c r="E155" s="49">
        <f t="shared" si="13"/>
        <v>5.6650971159505579</v>
      </c>
      <c r="F155" s="49">
        <f t="shared" si="13"/>
        <v>5.9137519314510465</v>
      </c>
      <c r="G155" s="49">
        <f t="shared" si="13"/>
        <v>5.7209508998000445</v>
      </c>
      <c r="H155" s="49">
        <f t="shared" si="13"/>
        <v>5.4218852999340799</v>
      </c>
      <c r="I155" s="49">
        <f t="shared" si="14"/>
        <v>40.710266744258213</v>
      </c>
      <c r="J155" s="49">
        <f t="shared" si="15"/>
        <v>20</v>
      </c>
      <c r="L155" s="1" t="s">
        <v>10</v>
      </c>
      <c r="M155">
        <v>13</v>
      </c>
    </row>
    <row r="156" spans="1:13">
      <c r="A156" s="46" t="s">
        <v>10</v>
      </c>
      <c r="B156" s="49">
        <f t="shared" si="13"/>
        <v>5.670029842262327</v>
      </c>
      <c r="C156" s="49">
        <f t="shared" si="13"/>
        <v>5.1438186042785032</v>
      </c>
      <c r="D156" s="49">
        <f t="shared" si="13"/>
        <v>5.4200542005420056</v>
      </c>
      <c r="E156" s="49">
        <f t="shared" si="13"/>
        <v>5.5326662742789869</v>
      </c>
      <c r="F156" s="49">
        <f t="shared" si="13"/>
        <v>5.5485320972046637</v>
      </c>
      <c r="G156" s="49">
        <f t="shared" si="13"/>
        <v>5.387691624083538</v>
      </c>
      <c r="H156" s="49">
        <f t="shared" si="13"/>
        <v>5.1582069874752809</v>
      </c>
      <c r="I156" s="49">
        <f t="shared" si="14"/>
        <v>37.860999630125306</v>
      </c>
      <c r="J156" s="49">
        <f t="shared" si="15"/>
        <v>13</v>
      </c>
      <c r="L156" s="1" t="s">
        <v>12</v>
      </c>
      <c r="M156">
        <v>12</v>
      </c>
    </row>
    <row r="157" spans="1:13">
      <c r="A157" s="46" t="s">
        <v>11</v>
      </c>
      <c r="B157" s="49">
        <f t="shared" si="13"/>
        <v>5.7552934489128882</v>
      </c>
      <c r="C157" s="49">
        <f t="shared" si="13"/>
        <v>5.0476724621424571</v>
      </c>
      <c r="D157" s="49">
        <f t="shared" si="13"/>
        <v>5.2976658798846064</v>
      </c>
      <c r="E157" s="49">
        <f t="shared" si="13"/>
        <v>5.0470865214832239</v>
      </c>
      <c r="F157" s="49">
        <f t="shared" si="13"/>
        <v>4.7057170950976266</v>
      </c>
      <c r="G157" s="49">
        <f t="shared" si="13"/>
        <v>5.2654965563208176</v>
      </c>
      <c r="H157" s="49">
        <f t="shared" si="13"/>
        <v>5.669083717864206</v>
      </c>
      <c r="I157" s="49">
        <f t="shared" si="14"/>
        <v>36.788015681705822</v>
      </c>
      <c r="J157" s="49">
        <f t="shared" si="15"/>
        <v>10</v>
      </c>
      <c r="L157" s="1" t="s">
        <v>0</v>
      </c>
      <c r="M157">
        <v>11</v>
      </c>
    </row>
    <row r="158" spans="1:13">
      <c r="A158" s="46" t="s">
        <v>12</v>
      </c>
      <c r="B158" s="49">
        <f t="shared" si="13"/>
        <v>5.4852920278527781</v>
      </c>
      <c r="C158" s="49">
        <f t="shared" si="13"/>
        <v>5.6165371364474002</v>
      </c>
      <c r="D158" s="49">
        <f t="shared" si="13"/>
        <v>5.6123787044322064</v>
      </c>
      <c r="E158" s="49">
        <f t="shared" si="13"/>
        <v>4.8705120659211296</v>
      </c>
      <c r="F158" s="49">
        <f t="shared" si="13"/>
        <v>5.0147492625368741</v>
      </c>
      <c r="G158" s="49">
        <f t="shared" si="13"/>
        <v>5.4210175516551873</v>
      </c>
      <c r="H158" s="49">
        <f t="shared" si="13"/>
        <v>5.7350032959789052</v>
      </c>
      <c r="I158" s="49">
        <f t="shared" si="14"/>
        <v>37.755490044824484</v>
      </c>
      <c r="J158" s="49">
        <f>_xlfn.RANK.AVG(I158, I$148:I$167,1 )</f>
        <v>12</v>
      </c>
      <c r="L158" s="1" t="s">
        <v>11</v>
      </c>
      <c r="M158">
        <v>10</v>
      </c>
    </row>
    <row r="159" spans="1:13">
      <c r="A159" s="46" t="s">
        <v>13</v>
      </c>
      <c r="B159" s="49">
        <f t="shared" si="13"/>
        <v>5.4852920278527781</v>
      </c>
      <c r="C159" s="49">
        <f t="shared" si="13"/>
        <v>5.4482813877093186</v>
      </c>
      <c r="D159" s="49">
        <f t="shared" si="13"/>
        <v>5.6298627502404068</v>
      </c>
      <c r="E159" s="49">
        <f t="shared" si="13"/>
        <v>5.9741024131842249</v>
      </c>
      <c r="F159" s="49">
        <f t="shared" si="13"/>
        <v>5.1552184295547132</v>
      </c>
      <c r="G159" s="49">
        <f t="shared" si="13"/>
        <v>5.7209508998000445</v>
      </c>
      <c r="H159" s="49">
        <f t="shared" si="13"/>
        <v>6.3282794990112068</v>
      </c>
      <c r="I159" s="49">
        <f t="shared" si="14"/>
        <v>39.741987407352696</v>
      </c>
      <c r="J159" s="49">
        <f t="shared" si="15"/>
        <v>17</v>
      </c>
      <c r="L159" s="1" t="s">
        <v>2</v>
      </c>
      <c r="M159">
        <v>9</v>
      </c>
    </row>
    <row r="160" spans="1:13">
      <c r="A160" s="46" t="s">
        <v>14</v>
      </c>
      <c r="B160" s="49">
        <f t="shared" si="13"/>
        <v>4.6184453602387379</v>
      </c>
      <c r="C160" s="49">
        <f t="shared" si="13"/>
        <v>5.1037577117218182</v>
      </c>
      <c r="D160" s="49">
        <f t="shared" si="13"/>
        <v>4.8168546201591056</v>
      </c>
      <c r="E160" s="49">
        <f t="shared" si="13"/>
        <v>4.5467922307239537</v>
      </c>
      <c r="F160" s="49">
        <f t="shared" si="13"/>
        <v>4.5231071779744347</v>
      </c>
      <c r="G160" s="49">
        <f t="shared" si="13"/>
        <v>5.0099977782714955</v>
      </c>
      <c r="H160" s="49">
        <f t="shared" si="13"/>
        <v>4.79564930784443</v>
      </c>
      <c r="I160" s="49">
        <f t="shared" si="14"/>
        <v>33.414604186933971</v>
      </c>
      <c r="J160" s="49">
        <f t="shared" si="15"/>
        <v>7</v>
      </c>
      <c r="L160" s="1" t="s">
        <v>15</v>
      </c>
      <c r="M160">
        <v>8</v>
      </c>
    </row>
    <row r="161" spans="1:13">
      <c r="A161" s="46" t="s">
        <v>15</v>
      </c>
      <c r="B161" s="49">
        <f t="shared" si="13"/>
        <v>6.0821372744067066</v>
      </c>
      <c r="C161" s="49">
        <f t="shared" si="13"/>
        <v>5.1518307827898413</v>
      </c>
      <c r="D161" s="49">
        <f t="shared" si="13"/>
        <v>5.0616312614739059</v>
      </c>
      <c r="E161" s="49">
        <f t="shared" si="13"/>
        <v>4.3555032371983513</v>
      </c>
      <c r="F161" s="49">
        <f t="shared" si="13"/>
        <v>3.9612305099030762</v>
      </c>
      <c r="G161" s="49">
        <f t="shared" si="13"/>
        <v>4.5101088646967344</v>
      </c>
      <c r="H161" s="49">
        <f t="shared" si="13"/>
        <v>5.0922874093605808</v>
      </c>
      <c r="I161" s="49">
        <f t="shared" si="14"/>
        <v>34.214729339829198</v>
      </c>
      <c r="J161" s="49">
        <f t="shared" si="15"/>
        <v>8</v>
      </c>
      <c r="L161" s="1" t="s">
        <v>14</v>
      </c>
      <c r="M161">
        <v>7</v>
      </c>
    </row>
    <row r="162" spans="1:13">
      <c r="A162" s="46" t="s">
        <v>16</v>
      </c>
      <c r="B162" s="49">
        <f t="shared" ref="B162:B167" si="16">(B86/B$93)*100</f>
        <v>3.3963336649140254</v>
      </c>
      <c r="C162" s="49">
        <f t="shared" ref="C162:H162" si="17">(C86/C$93)*100</f>
        <v>5.18387949683519</v>
      </c>
      <c r="D162" s="49">
        <f t="shared" si="17"/>
        <v>4.8255966430632053</v>
      </c>
      <c r="E162" s="49">
        <f t="shared" si="17"/>
        <v>4.5026486168334312</v>
      </c>
      <c r="F162" s="49">
        <f t="shared" si="17"/>
        <v>3.0060401741817668</v>
      </c>
      <c r="G162" s="49">
        <f t="shared" si="17"/>
        <v>3.6103088202621638</v>
      </c>
      <c r="H162" s="49">
        <f t="shared" si="17"/>
        <v>4.3836519446275553</v>
      </c>
      <c r="I162" s="49">
        <f t="shared" si="14"/>
        <v>28.908459360717341</v>
      </c>
      <c r="J162" s="49">
        <f t="shared" si="15"/>
        <v>5</v>
      </c>
      <c r="L162" s="1" t="s">
        <v>21</v>
      </c>
      <c r="M162">
        <v>6</v>
      </c>
    </row>
    <row r="163" spans="1:13">
      <c r="A163" s="46" t="s">
        <v>17</v>
      </c>
      <c r="B163" s="49">
        <f t="shared" si="16"/>
        <v>3.8510729003836861</v>
      </c>
      <c r="C163" s="49">
        <f t="shared" ref="C163:H167" si="18">(C87/C$93)*100</f>
        <v>4.3185642176107688</v>
      </c>
      <c r="D163" s="49">
        <f t="shared" si="18"/>
        <v>3.6978756884343036</v>
      </c>
      <c r="E163" s="49">
        <f t="shared" si="18"/>
        <v>4.1200706297822247</v>
      </c>
      <c r="F163" s="49">
        <f t="shared" si="18"/>
        <v>3.4274476752352858</v>
      </c>
      <c r="G163" s="49">
        <f t="shared" si="18"/>
        <v>4.3212619417907137</v>
      </c>
      <c r="H163" s="49">
        <f t="shared" si="18"/>
        <v>3.7574159525379041</v>
      </c>
      <c r="I163" s="49">
        <f t="shared" si="14"/>
        <v>27.493709005774885</v>
      </c>
      <c r="J163" s="49">
        <f t="shared" si="15"/>
        <v>2</v>
      </c>
      <c r="L163" s="1" t="s">
        <v>16</v>
      </c>
      <c r="M163">
        <v>5</v>
      </c>
    </row>
    <row r="164" spans="1:13">
      <c r="A164" s="46" t="s">
        <v>18</v>
      </c>
      <c r="B164" s="49">
        <f t="shared" si="16"/>
        <v>3.9079153048173936</v>
      </c>
      <c r="C164" s="49">
        <f t="shared" si="18"/>
        <v>4.7031487861549559</v>
      </c>
      <c r="D164" s="49">
        <f t="shared" si="18"/>
        <v>4.4059795436664047</v>
      </c>
      <c r="E164" s="49">
        <f t="shared" si="18"/>
        <v>3.7522071806945259</v>
      </c>
      <c r="F164" s="49">
        <f t="shared" si="18"/>
        <v>3.132462424497823</v>
      </c>
      <c r="G164" s="49">
        <f t="shared" si="18"/>
        <v>3.9213508109309041</v>
      </c>
      <c r="H164" s="49">
        <f t="shared" si="18"/>
        <v>4.5814106789716549</v>
      </c>
      <c r="I164" s="49">
        <f t="shared" si="14"/>
        <v>28.404474729733661</v>
      </c>
      <c r="J164" s="49">
        <f t="shared" si="15"/>
        <v>4</v>
      </c>
      <c r="L164" s="1" t="s">
        <v>18</v>
      </c>
      <c r="M164">
        <v>4</v>
      </c>
    </row>
    <row r="165" spans="1:13">
      <c r="A165" s="46" t="s">
        <v>19</v>
      </c>
      <c r="B165" s="49">
        <f t="shared" si="16"/>
        <v>3.2400170527213299</v>
      </c>
      <c r="C165" s="49">
        <f t="shared" si="18"/>
        <v>4.8714045348930375</v>
      </c>
      <c r="D165" s="49">
        <f t="shared" si="18"/>
        <v>4.458431681091005</v>
      </c>
      <c r="E165" s="49">
        <f t="shared" si="18"/>
        <v>3.6639199529134774</v>
      </c>
      <c r="F165" s="49">
        <f t="shared" si="18"/>
        <v>3.2026970080067425</v>
      </c>
      <c r="G165" s="49">
        <f t="shared" si="18"/>
        <v>3.5769828926905141</v>
      </c>
      <c r="H165" s="49">
        <f t="shared" si="18"/>
        <v>4.5484508899143048</v>
      </c>
      <c r="I165" s="49">
        <f t="shared" si="14"/>
        <v>27.561904012230407</v>
      </c>
      <c r="J165" s="49">
        <f t="shared" si="15"/>
        <v>3</v>
      </c>
      <c r="L165" s="1" t="s">
        <v>19</v>
      </c>
      <c r="M165">
        <v>3</v>
      </c>
    </row>
    <row r="166" spans="1:13">
      <c r="A166" s="46" t="s">
        <v>20</v>
      </c>
      <c r="B166" s="49">
        <f t="shared" si="16"/>
        <v>3.9221259059258204</v>
      </c>
      <c r="C166" s="49">
        <f t="shared" si="18"/>
        <v>4.0541623267366402</v>
      </c>
      <c r="D166" s="49">
        <f t="shared" si="18"/>
        <v>3.4356150013113034</v>
      </c>
      <c r="E166" s="49">
        <f t="shared" si="18"/>
        <v>3.6344908769864617</v>
      </c>
      <c r="F166" s="49">
        <f t="shared" si="18"/>
        <v>3.0762747576906868</v>
      </c>
      <c r="G166" s="49">
        <f t="shared" si="18"/>
        <v>3.8324816707398361</v>
      </c>
      <c r="H166" s="49">
        <f t="shared" si="18"/>
        <v>3.5926170072511541</v>
      </c>
      <c r="I166" s="49">
        <f t="shared" si="14"/>
        <v>25.5477675466419</v>
      </c>
      <c r="J166" s="49">
        <f t="shared" si="15"/>
        <v>1</v>
      </c>
      <c r="L166" s="1" t="s">
        <v>17</v>
      </c>
      <c r="M166">
        <v>2</v>
      </c>
    </row>
    <row r="167" spans="1:13">
      <c r="A167" s="46" t="s">
        <v>21</v>
      </c>
      <c r="B167" s="49">
        <f t="shared" si="16"/>
        <v>6.4942447065510871</v>
      </c>
      <c r="C167" s="49">
        <f t="shared" si="18"/>
        <v>3.9900648986459419</v>
      </c>
      <c r="D167" s="49">
        <f t="shared" si="18"/>
        <v>3.3744208409826038</v>
      </c>
      <c r="E167" s="49">
        <f t="shared" si="18"/>
        <v>4.7969393761035892</v>
      </c>
      <c r="F167" s="49">
        <f t="shared" si="18"/>
        <v>5.3378283466779042</v>
      </c>
      <c r="G167" s="49">
        <f t="shared" si="18"/>
        <v>4.8100422128415907</v>
      </c>
      <c r="H167" s="49">
        <f t="shared" si="18"/>
        <v>4.4495715227422554</v>
      </c>
      <c r="I167" s="49">
        <f t="shared" si="14"/>
        <v>33.253111904544973</v>
      </c>
      <c r="J167" s="49">
        <f t="shared" si="15"/>
        <v>6</v>
      </c>
      <c r="L167" s="1" t="s">
        <v>20</v>
      </c>
      <c r="M167">
        <v>1</v>
      </c>
    </row>
    <row r="169" spans="1:13" s="55" customFormat="1">
      <c r="A169" s="53" t="s">
        <v>156</v>
      </c>
      <c r="B169" s="54"/>
      <c r="C169" s="54"/>
    </row>
    <row r="170" spans="1:13">
      <c r="A170" s="46" t="s">
        <v>84</v>
      </c>
      <c r="B170" s="46" t="s">
        <v>32</v>
      </c>
      <c r="C170" s="46" t="s">
        <v>139</v>
      </c>
      <c r="D170" s="46" t="s">
        <v>140</v>
      </c>
      <c r="E170" s="46" t="s">
        <v>49</v>
      </c>
      <c r="F170" s="46" t="s">
        <v>50</v>
      </c>
      <c r="G170" s="46" t="s">
        <v>46</v>
      </c>
      <c r="H170" s="46" t="s">
        <v>37</v>
      </c>
      <c r="I170" s="46" t="s">
        <v>157</v>
      </c>
      <c r="J170" s="46" t="s">
        <v>158</v>
      </c>
      <c r="L170" s="46" t="s">
        <v>84</v>
      </c>
      <c r="M170" t="s">
        <v>158</v>
      </c>
    </row>
    <row r="171" spans="1:13">
      <c r="A171" s="46" t="s">
        <v>0</v>
      </c>
      <c r="B171" s="49">
        <f t="shared" ref="B171:E190" si="19">(B72-B$94)/B$96</f>
        <v>0.63197026022304814</v>
      </c>
      <c r="C171" s="49">
        <f t="shared" si="19"/>
        <v>0.69458128078817749</v>
      </c>
      <c r="D171" s="49">
        <f t="shared" si="19"/>
        <v>0.71803278688524608</v>
      </c>
      <c r="E171" s="49">
        <f t="shared" si="19"/>
        <v>0.56216216216216219</v>
      </c>
      <c r="F171" s="49">
        <f t="shared" ref="F171" si="20">(F72-F$94)/F$96</f>
        <v>0.57692307692307687</v>
      </c>
      <c r="G171" s="49">
        <f t="shared" ref="G171:H190" si="21">(G72-G$94)/G$96</f>
        <v>0.81132075471698106</v>
      </c>
      <c r="H171" s="49">
        <f t="shared" si="21"/>
        <v>0.46385542168674698</v>
      </c>
      <c r="I171" s="49">
        <f>SUM(B171:H171)/7</f>
        <v>0.63697796334077694</v>
      </c>
      <c r="J171" s="49">
        <f>_xlfn.RANK.AVG(I171,I$171:I$190, 1)</f>
        <v>11</v>
      </c>
      <c r="L171" s="1" t="s">
        <v>3</v>
      </c>
      <c r="M171">
        <v>20</v>
      </c>
    </row>
    <row r="172" spans="1:13">
      <c r="A172" s="46" t="s">
        <v>87</v>
      </c>
      <c r="B172" s="49">
        <f t="shared" si="19"/>
        <v>0.71375464684014867</v>
      </c>
      <c r="C172" s="49">
        <f t="shared" si="19"/>
        <v>1</v>
      </c>
      <c r="D172" s="49">
        <f t="shared" si="19"/>
        <v>0.83278688524590183</v>
      </c>
      <c r="E172" s="49">
        <f t="shared" si="19"/>
        <v>0.62162162162162171</v>
      </c>
      <c r="F172" s="49">
        <f t="shared" ref="F172:F190" si="22">(F73-F$94)/F$96</f>
        <v>0.83012820512820495</v>
      </c>
      <c r="G172" s="49">
        <f t="shared" si="21"/>
        <v>0.73113207547169823</v>
      </c>
      <c r="H172" s="49">
        <f t="shared" si="21"/>
        <v>0.64457831325301207</v>
      </c>
      <c r="I172" s="49">
        <f t="shared" ref="I172:I190" si="23">SUM(B172:H172)/7</f>
        <v>0.76771453536579826</v>
      </c>
      <c r="J172" s="49">
        <f>_xlfn.RANK.AVG(I172,I$171:I$190, 1)</f>
        <v>17</v>
      </c>
      <c r="L172" s="1" t="s">
        <v>9</v>
      </c>
      <c r="M172">
        <v>19</v>
      </c>
    </row>
    <row r="173" spans="1:13">
      <c r="A173" s="46" t="s">
        <v>2</v>
      </c>
      <c r="B173" s="49">
        <f t="shared" si="19"/>
        <v>0.13011152416356878</v>
      </c>
      <c r="C173" s="49">
        <f t="shared" si="19"/>
        <v>0.50246305418719228</v>
      </c>
      <c r="D173" s="49">
        <f t="shared" si="19"/>
        <v>0.56393442622950818</v>
      </c>
      <c r="E173" s="49">
        <f t="shared" si="19"/>
        <v>0.62162162162162171</v>
      </c>
      <c r="F173" s="49">
        <f t="shared" si="22"/>
        <v>0.58653846153846168</v>
      </c>
      <c r="G173" s="49">
        <f t="shared" si="21"/>
        <v>0.7028301886792454</v>
      </c>
      <c r="H173" s="49">
        <f t="shared" si="21"/>
        <v>0.56626506024096379</v>
      </c>
      <c r="I173" s="49">
        <f t="shared" si="23"/>
        <v>0.52482347666579454</v>
      </c>
      <c r="J173" s="49">
        <f t="shared" ref="J173:J190" si="24">_xlfn.RANK.AVG(I173,I$171:I$190, 1)</f>
        <v>9</v>
      </c>
      <c r="L173" s="1" t="s">
        <v>13</v>
      </c>
      <c r="M173">
        <v>18</v>
      </c>
    </row>
    <row r="174" spans="1:13">
      <c r="A174" s="46" t="s">
        <v>3</v>
      </c>
      <c r="B174" s="49">
        <f t="shared" si="19"/>
        <v>0.60966542750929376</v>
      </c>
      <c r="C174" s="49">
        <f t="shared" si="19"/>
        <v>0.83251231527093639</v>
      </c>
      <c r="D174" s="49">
        <f t="shared" si="19"/>
        <v>0.85245901639344257</v>
      </c>
      <c r="E174" s="49">
        <f t="shared" si="19"/>
        <v>0.88648648648648642</v>
      </c>
      <c r="F174" s="49">
        <f t="shared" si="22"/>
        <v>0.72756410256410264</v>
      </c>
      <c r="G174" s="49">
        <f t="shared" si="21"/>
        <v>1</v>
      </c>
      <c r="H174" s="49">
        <f t="shared" si="21"/>
        <v>0.80722891566265087</v>
      </c>
      <c r="I174" s="49">
        <f t="shared" si="23"/>
        <v>0.816559466269559</v>
      </c>
      <c r="J174" s="49">
        <f t="shared" si="24"/>
        <v>20</v>
      </c>
      <c r="L174" s="1" t="s">
        <v>87</v>
      </c>
      <c r="M174">
        <v>17</v>
      </c>
    </row>
    <row r="175" spans="1:13">
      <c r="A175" s="46" t="s">
        <v>4</v>
      </c>
      <c r="B175" s="49">
        <f t="shared" si="19"/>
        <v>0.2899628252788104</v>
      </c>
      <c r="C175" s="49">
        <f t="shared" si="19"/>
        <v>0.23152709359605927</v>
      </c>
      <c r="D175" s="49">
        <f t="shared" si="19"/>
        <v>0.62950819672131153</v>
      </c>
      <c r="E175" s="49">
        <f t="shared" si="19"/>
        <v>1</v>
      </c>
      <c r="F175" s="49">
        <f t="shared" si="22"/>
        <v>1</v>
      </c>
      <c r="G175" s="49">
        <f t="shared" si="21"/>
        <v>0.95754716981132082</v>
      </c>
      <c r="H175" s="49">
        <f t="shared" si="21"/>
        <v>0.40361445783132532</v>
      </c>
      <c r="I175" s="49">
        <f t="shared" si="23"/>
        <v>0.64459424903411811</v>
      </c>
      <c r="J175" s="49">
        <f t="shared" si="24"/>
        <v>12</v>
      </c>
      <c r="L175" s="1" t="s">
        <v>7</v>
      </c>
      <c r="M175">
        <v>16</v>
      </c>
    </row>
    <row r="176" spans="1:13">
      <c r="A176" s="46" t="s">
        <v>7</v>
      </c>
      <c r="B176" s="49">
        <f t="shared" si="19"/>
        <v>0.50557620817843851</v>
      </c>
      <c r="C176" s="49">
        <f t="shared" si="19"/>
        <v>0.89655172413793127</v>
      </c>
      <c r="D176" s="49">
        <f t="shared" si="19"/>
        <v>1</v>
      </c>
      <c r="E176" s="49">
        <f t="shared" si="19"/>
        <v>0.81081081081081086</v>
      </c>
      <c r="F176" s="49">
        <f t="shared" si="22"/>
        <v>0.62820512820512819</v>
      </c>
      <c r="G176" s="49">
        <f t="shared" si="21"/>
        <v>0.84433962264150952</v>
      </c>
      <c r="H176" s="49">
        <f t="shared" si="21"/>
        <v>0.66867469879518071</v>
      </c>
      <c r="I176" s="49">
        <f t="shared" si="23"/>
        <v>0.76487974182414287</v>
      </c>
      <c r="J176" s="49">
        <f t="shared" si="24"/>
        <v>16</v>
      </c>
      <c r="L176" s="1" t="s">
        <v>8</v>
      </c>
      <c r="M176">
        <v>15</v>
      </c>
    </row>
    <row r="177" spans="1:13">
      <c r="A177" s="46" t="s">
        <v>8</v>
      </c>
      <c r="B177" s="49">
        <f t="shared" si="19"/>
        <v>0.3494423791821562</v>
      </c>
      <c r="C177" s="49">
        <f t="shared" si="19"/>
        <v>0.84729064039408897</v>
      </c>
      <c r="D177" s="49">
        <f t="shared" si="19"/>
        <v>0.92131147540983638</v>
      </c>
      <c r="E177" s="49">
        <f t="shared" si="19"/>
        <v>0.67567567567567577</v>
      </c>
      <c r="F177" s="49">
        <f t="shared" si="22"/>
        <v>0.88782051282051289</v>
      </c>
      <c r="G177" s="49">
        <f t="shared" si="21"/>
        <v>0.83490566037735847</v>
      </c>
      <c r="H177" s="49">
        <f t="shared" si="21"/>
        <v>0.59036144578313265</v>
      </c>
      <c r="I177" s="49">
        <f t="shared" si="23"/>
        <v>0.72954396994896598</v>
      </c>
      <c r="J177" s="49">
        <f t="shared" si="24"/>
        <v>15</v>
      </c>
      <c r="L177" s="1" t="s">
        <v>12</v>
      </c>
      <c r="M177">
        <v>14</v>
      </c>
    </row>
    <row r="178" spans="1:13">
      <c r="A178" s="46" t="s">
        <v>9</v>
      </c>
      <c r="B178" s="49">
        <f t="shared" si="19"/>
        <v>1</v>
      </c>
      <c r="C178" s="49">
        <f t="shared" si="19"/>
        <v>0.80295566502463056</v>
      </c>
      <c r="D178" s="49">
        <f t="shared" si="19"/>
        <v>0.84590163934426266</v>
      </c>
      <c r="E178" s="49">
        <f t="shared" si="19"/>
        <v>0.74594594594594588</v>
      </c>
      <c r="F178" s="49">
        <f t="shared" si="22"/>
        <v>0.66346153846153855</v>
      </c>
      <c r="G178" s="49">
        <f t="shared" si="21"/>
        <v>0.91037735849056611</v>
      </c>
      <c r="H178" s="49">
        <f t="shared" si="21"/>
        <v>0.66867469879518071</v>
      </c>
      <c r="I178" s="49">
        <f t="shared" si="23"/>
        <v>0.8053309780088751</v>
      </c>
      <c r="J178" s="49">
        <f t="shared" si="24"/>
        <v>19</v>
      </c>
      <c r="L178" s="1" t="s">
        <v>10</v>
      </c>
      <c r="M178">
        <v>13</v>
      </c>
    </row>
    <row r="179" spans="1:13">
      <c r="A179" s="46" t="s">
        <v>10</v>
      </c>
      <c r="B179" s="49">
        <f t="shared" si="19"/>
        <v>0.63568773234200726</v>
      </c>
      <c r="C179" s="49">
        <f t="shared" si="19"/>
        <v>0.7093596059113304</v>
      </c>
      <c r="D179" s="49">
        <f t="shared" si="19"/>
        <v>0.76721311475409848</v>
      </c>
      <c r="E179" s="49">
        <f t="shared" si="19"/>
        <v>0.69729729729729728</v>
      </c>
      <c r="F179" s="49">
        <f t="shared" si="22"/>
        <v>0.58012820512820507</v>
      </c>
      <c r="G179" s="49">
        <f t="shared" si="21"/>
        <v>0.76886792452830188</v>
      </c>
      <c r="H179" s="49">
        <f t="shared" si="21"/>
        <v>0.57228915662650615</v>
      </c>
      <c r="I179" s="49">
        <f t="shared" si="23"/>
        <v>0.67583471951253515</v>
      </c>
      <c r="J179" s="49">
        <f t="shared" si="24"/>
        <v>13</v>
      </c>
      <c r="L179" s="1" t="s">
        <v>4</v>
      </c>
      <c r="M179">
        <v>12</v>
      </c>
    </row>
    <row r="180" spans="1:13">
      <c r="A180" s="46" t="s">
        <v>11</v>
      </c>
      <c r="B180" s="49">
        <f t="shared" si="19"/>
        <v>0.65799256505576198</v>
      </c>
      <c r="C180" s="49">
        <f t="shared" si="19"/>
        <v>0.65024630541871942</v>
      </c>
      <c r="D180" s="49">
        <f t="shared" si="19"/>
        <v>0.7213114754098362</v>
      </c>
      <c r="E180" s="49">
        <f t="shared" si="19"/>
        <v>0.51891891891891873</v>
      </c>
      <c r="F180" s="49">
        <f t="shared" si="22"/>
        <v>0.38782051282051283</v>
      </c>
      <c r="G180" s="49">
        <f t="shared" si="21"/>
        <v>0.71698113207547165</v>
      </c>
      <c r="H180" s="49">
        <f t="shared" si="21"/>
        <v>0.75903614457831325</v>
      </c>
      <c r="I180" s="49">
        <f t="shared" si="23"/>
        <v>0.63032957918250487</v>
      </c>
      <c r="J180" s="49">
        <f t="shared" si="24"/>
        <v>10</v>
      </c>
      <c r="L180" s="1" t="s">
        <v>0</v>
      </c>
      <c r="M180">
        <v>11</v>
      </c>
    </row>
    <row r="181" spans="1:13">
      <c r="A181" s="46" t="s">
        <v>12</v>
      </c>
      <c r="B181" s="49">
        <f t="shared" si="19"/>
        <v>0.58736059479553904</v>
      </c>
      <c r="C181" s="49">
        <f t="shared" si="19"/>
        <v>1</v>
      </c>
      <c r="D181" s="49">
        <f t="shared" si="19"/>
        <v>0.83934426229508219</v>
      </c>
      <c r="E181" s="49">
        <f t="shared" si="19"/>
        <v>0.45405405405405408</v>
      </c>
      <c r="F181" s="49">
        <f t="shared" si="22"/>
        <v>0.45833333333333343</v>
      </c>
      <c r="G181" s="49">
        <f t="shared" si="21"/>
        <v>0.78301886792452824</v>
      </c>
      <c r="H181" s="49">
        <f t="shared" si="21"/>
        <v>0.78313253012048178</v>
      </c>
      <c r="I181" s="49">
        <f t="shared" si="23"/>
        <v>0.7007490917890028</v>
      </c>
      <c r="J181" s="49">
        <f>_xlfn.RANK.AVG(I181,I$171:I$190, 1)</f>
        <v>14</v>
      </c>
      <c r="L181" s="1" t="s">
        <v>11</v>
      </c>
      <c r="M181">
        <v>10</v>
      </c>
    </row>
    <row r="182" spans="1:13">
      <c r="A182" s="46" t="s">
        <v>13</v>
      </c>
      <c r="B182" s="49">
        <f t="shared" si="19"/>
        <v>0.58736059479553904</v>
      </c>
      <c r="C182" s="49">
        <f t="shared" si="19"/>
        <v>0.89655172413793127</v>
      </c>
      <c r="D182" s="49">
        <f t="shared" si="19"/>
        <v>0.84590163934426266</v>
      </c>
      <c r="E182" s="49">
        <f t="shared" si="19"/>
        <v>0.85945945945945945</v>
      </c>
      <c r="F182" s="49">
        <f t="shared" si="22"/>
        <v>0.49038461538461547</v>
      </c>
      <c r="G182" s="49">
        <f t="shared" si="21"/>
        <v>0.91037735849056611</v>
      </c>
      <c r="H182" s="49">
        <f t="shared" si="21"/>
        <v>1</v>
      </c>
      <c r="I182" s="49">
        <f t="shared" si="23"/>
        <v>0.79857648451605356</v>
      </c>
      <c r="J182" s="49">
        <f t="shared" si="24"/>
        <v>18</v>
      </c>
      <c r="L182" s="1" t="s">
        <v>2</v>
      </c>
      <c r="M182">
        <v>9</v>
      </c>
    </row>
    <row r="183" spans="1:13">
      <c r="A183" s="46" t="s">
        <v>14</v>
      </c>
      <c r="B183" s="49">
        <f t="shared" si="19"/>
        <v>0.3605947955390334</v>
      </c>
      <c r="C183" s="49">
        <f t="shared" si="19"/>
        <v>0.68472906403940925</v>
      </c>
      <c r="D183" s="49">
        <f t="shared" si="19"/>
        <v>0.54098360655737721</v>
      </c>
      <c r="E183" s="49">
        <f t="shared" si="19"/>
        <v>0.33513513513513504</v>
      </c>
      <c r="F183" s="49">
        <f t="shared" si="22"/>
        <v>0.34615384615384626</v>
      </c>
      <c r="G183" s="49">
        <f t="shared" si="21"/>
        <v>0.60849056603773588</v>
      </c>
      <c r="H183" s="49">
        <f t="shared" si="21"/>
        <v>0.4397590361445784</v>
      </c>
      <c r="I183" s="49">
        <f t="shared" si="23"/>
        <v>0.47369229280101655</v>
      </c>
      <c r="J183" s="49">
        <f t="shared" si="24"/>
        <v>7</v>
      </c>
      <c r="L183" s="1" t="s">
        <v>15</v>
      </c>
      <c r="M183">
        <v>8</v>
      </c>
    </row>
    <row r="184" spans="1:13">
      <c r="A184" s="46" t="s">
        <v>15</v>
      </c>
      <c r="B184" s="49">
        <f t="shared" si="19"/>
        <v>0.7434944237918214</v>
      </c>
      <c r="C184" s="49">
        <f t="shared" si="19"/>
        <v>0.71428571428571441</v>
      </c>
      <c r="D184" s="49">
        <f t="shared" si="19"/>
        <v>0.63278688524590165</v>
      </c>
      <c r="E184" s="49">
        <f t="shared" si="19"/>
        <v>0.26486486486486494</v>
      </c>
      <c r="F184" s="49">
        <f t="shared" si="22"/>
        <v>0.21794871794871795</v>
      </c>
      <c r="G184" s="49">
        <f t="shared" si="21"/>
        <v>0.39622641509433965</v>
      </c>
      <c r="H184" s="49">
        <f t="shared" si="21"/>
        <v>0.54819277108433728</v>
      </c>
      <c r="I184" s="49">
        <f t="shared" si="23"/>
        <v>0.50254282747367107</v>
      </c>
      <c r="J184" s="49">
        <f t="shared" si="24"/>
        <v>8</v>
      </c>
      <c r="L184" s="1" t="s">
        <v>14</v>
      </c>
      <c r="M184">
        <v>7</v>
      </c>
    </row>
    <row r="185" spans="1:13">
      <c r="A185" s="46" t="s">
        <v>16</v>
      </c>
      <c r="B185" s="49">
        <f t="shared" si="19"/>
        <v>4.0892193308550102E-2</v>
      </c>
      <c r="C185" s="49">
        <f t="shared" si="19"/>
        <v>0.73399014778325167</v>
      </c>
      <c r="D185" s="49">
        <f t="shared" si="19"/>
        <v>0.54426229508196744</v>
      </c>
      <c r="E185" s="49">
        <f t="shared" si="19"/>
        <v>0.31891891891891899</v>
      </c>
      <c r="F185" s="49">
        <f t="shared" si="22"/>
        <v>0</v>
      </c>
      <c r="G185" s="49">
        <f t="shared" si="21"/>
        <v>1.4150943396226284E-2</v>
      </c>
      <c r="H185" s="49">
        <f t="shared" si="21"/>
        <v>0.28915662650602419</v>
      </c>
      <c r="I185" s="49">
        <f t="shared" si="23"/>
        <v>0.27733873214213411</v>
      </c>
      <c r="J185" s="49">
        <f t="shared" si="24"/>
        <v>5</v>
      </c>
      <c r="L185" s="1" t="s">
        <v>21</v>
      </c>
      <c r="M185">
        <v>6</v>
      </c>
    </row>
    <row r="186" spans="1:13">
      <c r="A186" s="46" t="s">
        <v>17</v>
      </c>
      <c r="B186" s="49">
        <f t="shared" si="19"/>
        <v>0.15985130111524165</v>
      </c>
      <c r="C186" s="49">
        <f t="shared" si="19"/>
        <v>0.20197044334975378</v>
      </c>
      <c r="D186" s="49">
        <f t="shared" si="19"/>
        <v>0.12131147540983596</v>
      </c>
      <c r="E186" s="49">
        <f t="shared" si="19"/>
        <v>0.17837837837837839</v>
      </c>
      <c r="F186" s="49">
        <f t="shared" si="22"/>
        <v>9.6153846153846145E-2</v>
      </c>
      <c r="G186" s="49">
        <f t="shared" si="21"/>
        <v>0.31603773584905648</v>
      </c>
      <c r="H186" s="49">
        <f t="shared" si="21"/>
        <v>6.0240963855421693E-2</v>
      </c>
      <c r="I186" s="49">
        <f t="shared" si="23"/>
        <v>0.16199202058736201</v>
      </c>
      <c r="J186" s="49">
        <f t="shared" si="24"/>
        <v>2</v>
      </c>
      <c r="L186" s="1" t="s">
        <v>16</v>
      </c>
      <c r="M186">
        <v>5</v>
      </c>
    </row>
    <row r="187" spans="1:13">
      <c r="A187" s="46" t="s">
        <v>18</v>
      </c>
      <c r="B187" s="49">
        <f t="shared" si="19"/>
        <v>0.17472118959107802</v>
      </c>
      <c r="C187" s="49">
        <f t="shared" si="19"/>
        <v>0.4384236453201974</v>
      </c>
      <c r="D187" s="49">
        <f t="shared" si="19"/>
        <v>0.38688524590163936</v>
      </c>
      <c r="E187" s="49">
        <f t="shared" si="19"/>
        <v>4.3243243243243273E-2</v>
      </c>
      <c r="F187" s="49">
        <f t="shared" si="22"/>
        <v>2.884615384615391E-2</v>
      </c>
      <c r="G187" s="49">
        <f t="shared" si="21"/>
        <v>0.1462264150943394</v>
      </c>
      <c r="H187" s="49">
        <f t="shared" si="21"/>
        <v>0.36144578313253017</v>
      </c>
      <c r="I187" s="49">
        <f t="shared" si="23"/>
        <v>0.22568452516131163</v>
      </c>
      <c r="J187" s="49">
        <f t="shared" si="24"/>
        <v>4</v>
      </c>
      <c r="L187" s="1" t="s">
        <v>18</v>
      </c>
      <c r="M187">
        <v>4</v>
      </c>
    </row>
    <row r="188" spans="1:13">
      <c r="A188" s="46" t="s">
        <v>19</v>
      </c>
      <c r="B188" s="49">
        <f t="shared" si="19"/>
        <v>0</v>
      </c>
      <c r="C188" s="49">
        <f t="shared" si="19"/>
        <v>0.54187192118226613</v>
      </c>
      <c r="D188" s="49">
        <f t="shared" si="19"/>
        <v>0.40655737704918038</v>
      </c>
      <c r="E188" s="49">
        <f t="shared" si="19"/>
        <v>1.081081081081077E-2</v>
      </c>
      <c r="F188" s="49">
        <f t="shared" si="22"/>
        <v>4.4871794871794934E-2</v>
      </c>
      <c r="G188" s="49">
        <f t="shared" si="21"/>
        <v>0</v>
      </c>
      <c r="H188" s="49">
        <f t="shared" si="21"/>
        <v>0.34939759036144585</v>
      </c>
      <c r="I188" s="49">
        <f t="shared" si="23"/>
        <v>0.19335849918221401</v>
      </c>
      <c r="J188" s="49">
        <f t="shared" si="24"/>
        <v>3</v>
      </c>
      <c r="L188" s="1" t="s">
        <v>19</v>
      </c>
      <c r="M188">
        <v>3</v>
      </c>
    </row>
    <row r="189" spans="1:13">
      <c r="A189" s="46" t="s">
        <v>20</v>
      </c>
      <c r="B189" s="49">
        <f t="shared" si="19"/>
        <v>0.17843866171003719</v>
      </c>
      <c r="C189" s="49">
        <f t="shared" si="19"/>
        <v>3.9408866995074107E-2</v>
      </c>
      <c r="D189" s="49">
        <f t="shared" si="19"/>
        <v>2.2950819672131015E-2</v>
      </c>
      <c r="E189" s="49">
        <f t="shared" si="19"/>
        <v>0</v>
      </c>
      <c r="F189" s="49">
        <f t="shared" si="22"/>
        <v>1.6025641025641024E-2</v>
      </c>
      <c r="G189" s="49">
        <f t="shared" si="21"/>
        <v>0.10849056603773574</v>
      </c>
      <c r="H189" s="49">
        <f t="shared" si="21"/>
        <v>0</v>
      </c>
      <c r="I189" s="49">
        <f t="shared" si="23"/>
        <v>5.2187793634374154E-2</v>
      </c>
      <c r="J189" s="49">
        <f t="shared" si="24"/>
        <v>1</v>
      </c>
      <c r="L189" s="1" t="s">
        <v>17</v>
      </c>
      <c r="M189">
        <v>2</v>
      </c>
    </row>
    <row r="190" spans="1:13">
      <c r="A190" s="46" t="s">
        <v>21</v>
      </c>
      <c r="B190" s="49">
        <f t="shared" si="19"/>
        <v>0.85130111524163565</v>
      </c>
      <c r="C190" s="49">
        <f t="shared" si="19"/>
        <v>0</v>
      </c>
      <c r="D190" s="49">
        <f t="shared" si="19"/>
        <v>0</v>
      </c>
      <c r="E190" s="49">
        <f t="shared" si="19"/>
        <v>0.42702702702702705</v>
      </c>
      <c r="F190" s="49">
        <f t="shared" si="22"/>
        <v>0.53205128205128205</v>
      </c>
      <c r="G190" s="49">
        <f t="shared" si="21"/>
        <v>0.52358490566037719</v>
      </c>
      <c r="H190" s="49">
        <f t="shared" si="21"/>
        <v>0.31325301204819278</v>
      </c>
      <c r="I190" s="49">
        <f t="shared" si="23"/>
        <v>0.37817390600407352</v>
      </c>
      <c r="J190" s="49">
        <f t="shared" si="24"/>
        <v>6</v>
      </c>
      <c r="L190" s="1" t="s">
        <v>20</v>
      </c>
      <c r="M190">
        <v>1</v>
      </c>
    </row>
    <row r="191" spans="1:13">
      <c r="F191" s="49"/>
    </row>
    <row r="192" spans="1:13">
      <c r="A192" s="54" t="s">
        <v>165</v>
      </c>
      <c r="B192" s="54"/>
      <c r="C192" s="54"/>
      <c r="H192" t="s">
        <v>169</v>
      </c>
    </row>
    <row r="193" spans="1:20">
      <c r="A193" s="46" t="s">
        <v>84</v>
      </c>
      <c r="B193" s="46" t="s">
        <v>32</v>
      </c>
      <c r="C193" s="46" t="s">
        <v>139</v>
      </c>
      <c r="D193" s="46" t="s">
        <v>140</v>
      </c>
      <c r="E193" s="46" t="s">
        <v>49</v>
      </c>
      <c r="F193" s="46" t="s">
        <v>50</v>
      </c>
      <c r="G193" s="46" t="s">
        <v>46</v>
      </c>
      <c r="H193" s="46" t="s">
        <v>37</v>
      </c>
      <c r="I193" s="46" t="s">
        <v>32</v>
      </c>
      <c r="J193" s="46" t="s">
        <v>139</v>
      </c>
      <c r="K193" s="46" t="s">
        <v>140</v>
      </c>
      <c r="L193" s="46" t="s">
        <v>49</v>
      </c>
      <c r="M193" s="46" t="s">
        <v>50</v>
      </c>
      <c r="N193" s="46" t="s">
        <v>46</v>
      </c>
      <c r="O193" s="46" t="s">
        <v>37</v>
      </c>
      <c r="S193" s="46"/>
    </row>
    <row r="194" spans="1:20">
      <c r="A194" s="66" t="s">
        <v>170</v>
      </c>
      <c r="B194" s="49"/>
      <c r="C194" s="49"/>
      <c r="D194" s="49"/>
      <c r="E194" s="49"/>
      <c r="F194" s="49"/>
      <c r="G194" s="49"/>
      <c r="H194" s="49"/>
      <c r="I194" s="65" t="s">
        <v>173</v>
      </c>
      <c r="J194" t="s">
        <v>167</v>
      </c>
      <c r="P194" t="s">
        <v>174</v>
      </c>
      <c r="Q194" t="s">
        <v>168</v>
      </c>
      <c r="S194" s="46" t="s">
        <v>84</v>
      </c>
      <c r="T194" t="s">
        <v>168</v>
      </c>
    </row>
    <row r="195" spans="1:20">
      <c r="A195" s="46" t="s">
        <v>0</v>
      </c>
      <c r="B195" s="49">
        <f t="shared" ref="B195:C213" si="25">B72-B$66</f>
        <v>4.5999999999999943</v>
      </c>
      <c r="C195" s="49">
        <f t="shared" si="25"/>
        <v>2.5</v>
      </c>
      <c r="D195" s="49">
        <f t="shared" ref="D195:H195" si="26">D72-D$66</f>
        <v>4.1000000000000014</v>
      </c>
      <c r="E195" s="49">
        <f t="shared" si="26"/>
        <v>-0.10000000000000142</v>
      </c>
      <c r="F195" s="49">
        <f t="shared" si="26"/>
        <v>3.8999999999999986</v>
      </c>
      <c r="G195" s="49">
        <f t="shared" si="26"/>
        <v>3.5</v>
      </c>
      <c r="H195" s="49">
        <f t="shared" si="26"/>
        <v>-1.1000000000000014</v>
      </c>
      <c r="I195" s="49">
        <f>B195/B$237</f>
        <v>0.61547893991845037</v>
      </c>
      <c r="J195" s="49">
        <f t="shared" ref="J195" si="27">C195/C$237</f>
        <v>0.41495562079473997</v>
      </c>
      <c r="K195" s="49">
        <f t="shared" ref="K195" si="28">D195/D$237</f>
        <v>0.46907715575965198</v>
      </c>
      <c r="L195" s="49">
        <f t="shared" ref="L195" si="29">E195/E$237</f>
        <v>-1.8016702017723044E-2</v>
      </c>
      <c r="M195" s="49">
        <f t="shared" ref="M195" si="30">F195/F$237</f>
        <v>0.41913077097957879</v>
      </c>
      <c r="N195" s="49">
        <f t="shared" ref="N195" si="31">G195/G$237</f>
        <v>0.51476711478223403</v>
      </c>
      <c r="O195" s="49">
        <f t="shared" ref="O195" si="32">H195/H$237</f>
        <v>-0.27407654735816189</v>
      </c>
      <c r="P195" s="49">
        <f>SUM(I195:O195)/7</f>
        <v>0.30590233612268147</v>
      </c>
      <c r="Q195" s="49">
        <f>_xlfn.RANK.AVG(P195,P$195:P$214,1)</f>
        <v>11</v>
      </c>
      <c r="S195" s="1" t="s">
        <v>3</v>
      </c>
      <c r="T195">
        <v>20</v>
      </c>
    </row>
    <row r="196" spans="1:20">
      <c r="A196" s="46" t="s">
        <v>87</v>
      </c>
      <c r="B196" s="49">
        <f t="shared" si="25"/>
        <v>6.7999999999999972</v>
      </c>
      <c r="C196" s="49">
        <f t="shared" si="25"/>
        <v>8.6999999999999957</v>
      </c>
      <c r="D196" s="49">
        <f t="shared" ref="D196:H205" si="33">D73-D$66</f>
        <v>7.6000000000000014</v>
      </c>
      <c r="E196" s="49">
        <f t="shared" si="33"/>
        <v>1</v>
      </c>
      <c r="F196" s="49">
        <f t="shared" si="33"/>
        <v>11.799999999999997</v>
      </c>
      <c r="G196" s="49">
        <f t="shared" si="33"/>
        <v>1.8000000000000043</v>
      </c>
      <c r="H196" s="49">
        <f t="shared" si="33"/>
        <v>1.8999999999999986</v>
      </c>
      <c r="I196" s="49">
        <f t="shared" ref="I196:I214" si="34">B196/B$237</f>
        <v>0.90983843292292743</v>
      </c>
      <c r="J196" s="49">
        <f t="shared" ref="J196:J214" si="35">C196/C$237</f>
        <v>1.4440455603656943</v>
      </c>
      <c r="K196" s="49">
        <f t="shared" ref="K196:K214" si="36">D196/D$237</f>
        <v>0.86950887409106203</v>
      </c>
      <c r="L196" s="49">
        <f t="shared" ref="L196:L214" si="37">E196/E$237</f>
        <v>0.18016702017722788</v>
      </c>
      <c r="M196" s="49">
        <f t="shared" ref="M196:M214" si="38">F196/F$237</f>
        <v>1.2681392557843669</v>
      </c>
      <c r="N196" s="49">
        <f t="shared" ref="N196:N214" si="39">G196/G$237</f>
        <v>0.26473737331657815</v>
      </c>
      <c r="O196" s="49">
        <f t="shared" ref="O196:O214" si="40">H196/H$237</f>
        <v>0.47340494543682415</v>
      </c>
      <c r="P196" s="49">
        <f t="shared" ref="P196:P214" si="41">SUM(I196:O196)/7</f>
        <v>0.77283449458495446</v>
      </c>
      <c r="Q196" s="49">
        <f t="shared" ref="Q196:Q214" si="42">_xlfn.RANK.AVG(P196,P$195:P$214,1)</f>
        <v>17</v>
      </c>
      <c r="S196" s="1" t="s">
        <v>9</v>
      </c>
      <c r="T196">
        <v>19</v>
      </c>
    </row>
    <row r="197" spans="1:20">
      <c r="A197" s="46" t="s">
        <v>2</v>
      </c>
      <c r="B197" s="49">
        <f t="shared" si="25"/>
        <v>-8.9000000000000021</v>
      </c>
      <c r="C197" s="49">
        <f t="shared" si="25"/>
        <v>-1.3999999999999986</v>
      </c>
      <c r="D197" s="49">
        <f t="shared" si="33"/>
        <v>-0.60000000000000142</v>
      </c>
      <c r="E197" s="49">
        <f t="shared" si="33"/>
        <v>1</v>
      </c>
      <c r="F197" s="49">
        <f t="shared" si="33"/>
        <v>4.2000000000000028</v>
      </c>
      <c r="G197" s="49">
        <f t="shared" si="33"/>
        <v>1.2000000000000028</v>
      </c>
      <c r="H197" s="49">
        <f t="shared" si="33"/>
        <v>0.59999999999999787</v>
      </c>
      <c r="I197" s="49">
        <f t="shared" si="34"/>
        <v>-1.1908179489726558</v>
      </c>
      <c r="J197" s="49">
        <f t="shared" si="35"/>
        <v>-0.23237514764505413</v>
      </c>
      <c r="K197" s="49">
        <f t="shared" si="36"/>
        <v>-6.864543742824189E-2</v>
      </c>
      <c r="L197" s="49">
        <f t="shared" si="37"/>
        <v>0.18016702017722788</v>
      </c>
      <c r="M197" s="49">
        <f t="shared" si="38"/>
        <v>0.45137159951646999</v>
      </c>
      <c r="N197" s="49">
        <f t="shared" si="39"/>
        <v>0.17649158221105207</v>
      </c>
      <c r="O197" s="49">
        <f t="shared" si="40"/>
        <v>0.14949629855899668</v>
      </c>
      <c r="P197" s="49">
        <f t="shared" si="41"/>
        <v>-7.6330290511743601E-2</v>
      </c>
      <c r="Q197" s="49">
        <f t="shared" si="42"/>
        <v>9</v>
      </c>
      <c r="S197" s="1" t="s">
        <v>13</v>
      </c>
      <c r="T197">
        <v>18</v>
      </c>
    </row>
    <row r="198" spans="1:20">
      <c r="A198" s="46" t="s">
        <v>3</v>
      </c>
      <c r="B198" s="49">
        <f t="shared" si="25"/>
        <v>4</v>
      </c>
      <c r="C198" s="49">
        <f t="shared" si="25"/>
        <v>5.3000000000000043</v>
      </c>
      <c r="D198" s="49">
        <f t="shared" si="33"/>
        <v>8.1999999999999957</v>
      </c>
      <c r="E198" s="49">
        <f t="shared" si="33"/>
        <v>5.8999999999999986</v>
      </c>
      <c r="F198" s="49">
        <f t="shared" si="33"/>
        <v>8.6000000000000014</v>
      </c>
      <c r="G198" s="49">
        <f t="shared" si="33"/>
        <v>7.5</v>
      </c>
      <c r="H198" s="49">
        <f t="shared" si="33"/>
        <v>4.6000000000000014</v>
      </c>
      <c r="I198" s="49">
        <f t="shared" si="34"/>
        <v>0.53519907818995749</v>
      </c>
      <c r="J198" s="49">
        <f t="shared" si="35"/>
        <v>0.87970591608484938</v>
      </c>
      <c r="K198" s="49">
        <f t="shared" si="36"/>
        <v>0.93815431151930306</v>
      </c>
      <c r="L198" s="49">
        <f t="shared" si="37"/>
        <v>1.0629854190456443</v>
      </c>
      <c r="M198" s="49">
        <f t="shared" si="38"/>
        <v>0.92423708472419996</v>
      </c>
      <c r="N198" s="49">
        <f t="shared" si="39"/>
        <v>1.103072388819073</v>
      </c>
      <c r="O198" s="49">
        <f t="shared" si="40"/>
        <v>1.1461382889523122</v>
      </c>
      <c r="P198" s="49">
        <f t="shared" si="41"/>
        <v>0.94135606961933427</v>
      </c>
      <c r="Q198" s="49">
        <f t="shared" si="42"/>
        <v>20</v>
      </c>
      <c r="S198" s="1" t="s">
        <v>87</v>
      </c>
      <c r="T198">
        <v>17</v>
      </c>
    </row>
    <row r="199" spans="1:20">
      <c r="A199" s="46" t="s">
        <v>4</v>
      </c>
      <c r="B199" s="49">
        <f t="shared" si="25"/>
        <v>-4.6000000000000014</v>
      </c>
      <c r="C199" s="49">
        <f t="shared" si="25"/>
        <v>-6.8999999999999986</v>
      </c>
      <c r="D199" s="49">
        <f t="shared" si="33"/>
        <v>1.3999999999999986</v>
      </c>
      <c r="E199" s="49">
        <f t="shared" si="33"/>
        <v>8</v>
      </c>
      <c r="F199" s="49">
        <f t="shared" si="33"/>
        <v>17.100000000000001</v>
      </c>
      <c r="G199" s="49">
        <f t="shared" si="33"/>
        <v>6.6000000000000014</v>
      </c>
      <c r="H199" s="49">
        <f t="shared" si="33"/>
        <v>-2.1000000000000014</v>
      </c>
      <c r="I199" s="49">
        <f t="shared" si="34"/>
        <v>-0.61547893991845137</v>
      </c>
      <c r="J199" s="49">
        <f t="shared" si="35"/>
        <v>-1.145277513393482</v>
      </c>
      <c r="K199" s="49">
        <f t="shared" si="36"/>
        <v>0.16017268733256387</v>
      </c>
      <c r="L199" s="49">
        <f t="shared" si="37"/>
        <v>1.4413361614178231</v>
      </c>
      <c r="M199" s="49">
        <f t="shared" si="38"/>
        <v>1.8377272266027695</v>
      </c>
      <c r="N199" s="49">
        <f t="shared" si="39"/>
        <v>0.97070370216078439</v>
      </c>
      <c r="O199" s="49">
        <f t="shared" si="40"/>
        <v>-0.52323704495649059</v>
      </c>
      <c r="P199" s="49">
        <f t="shared" si="41"/>
        <v>0.30370661132078813</v>
      </c>
      <c r="Q199" s="49">
        <f>_xlfn.RANK.AVG(P199,P$195:P$214,1)</f>
        <v>10</v>
      </c>
      <c r="S199" s="1" t="s">
        <v>7</v>
      </c>
      <c r="T199">
        <v>16</v>
      </c>
    </row>
    <row r="200" spans="1:20">
      <c r="A200" s="46" t="s">
        <v>7</v>
      </c>
      <c r="B200" s="49">
        <f t="shared" si="25"/>
        <v>1.1999999999999957</v>
      </c>
      <c r="C200" s="49">
        <f t="shared" si="25"/>
        <v>6.6000000000000014</v>
      </c>
      <c r="D200" s="49">
        <f t="shared" si="33"/>
        <v>12.699999999999996</v>
      </c>
      <c r="E200" s="49">
        <f t="shared" si="33"/>
        <v>4.5</v>
      </c>
      <c r="F200" s="49">
        <f t="shared" si="33"/>
        <v>5.5</v>
      </c>
      <c r="G200" s="49">
        <f t="shared" si="33"/>
        <v>4.2000000000000028</v>
      </c>
      <c r="H200" s="49">
        <f t="shared" si="33"/>
        <v>2.2999999999999972</v>
      </c>
      <c r="I200" s="49">
        <f t="shared" si="34"/>
        <v>0.16055972345698669</v>
      </c>
      <c r="J200" s="49">
        <f t="shared" si="35"/>
        <v>1.0954828388981137</v>
      </c>
      <c r="K200" s="49">
        <f t="shared" si="36"/>
        <v>1.4529950922311161</v>
      </c>
      <c r="L200" s="49">
        <f t="shared" si="37"/>
        <v>0.81075159079752546</v>
      </c>
      <c r="M200" s="49">
        <f t="shared" si="38"/>
        <v>0.59108185650966261</v>
      </c>
      <c r="N200" s="49">
        <f t="shared" si="39"/>
        <v>0.6177205377386813</v>
      </c>
      <c r="O200" s="49">
        <f t="shared" si="40"/>
        <v>0.5730691444761552</v>
      </c>
      <c r="P200" s="49">
        <f t="shared" si="41"/>
        <v>0.75738011201546296</v>
      </c>
      <c r="Q200" s="49">
        <f t="shared" si="42"/>
        <v>16</v>
      </c>
      <c r="S200" s="1" t="s">
        <v>8</v>
      </c>
      <c r="T200">
        <v>15</v>
      </c>
    </row>
    <row r="201" spans="1:20">
      <c r="A201" s="46" t="s">
        <v>8</v>
      </c>
      <c r="B201" s="49">
        <f t="shared" si="25"/>
        <v>-3</v>
      </c>
      <c r="C201" s="49">
        <f t="shared" si="25"/>
        <v>5.6000000000000014</v>
      </c>
      <c r="D201" s="49">
        <f t="shared" si="33"/>
        <v>10.300000000000004</v>
      </c>
      <c r="E201" s="49">
        <f t="shared" si="33"/>
        <v>2</v>
      </c>
      <c r="F201" s="49">
        <f t="shared" si="33"/>
        <v>13.600000000000001</v>
      </c>
      <c r="G201" s="49">
        <f t="shared" si="33"/>
        <v>4</v>
      </c>
      <c r="H201" s="49">
        <f t="shared" si="33"/>
        <v>1</v>
      </c>
      <c r="I201" s="49">
        <f t="shared" si="34"/>
        <v>-0.40139930864246814</v>
      </c>
      <c r="J201" s="49">
        <f t="shared" si="35"/>
        <v>0.92950059058021772</v>
      </c>
      <c r="K201" s="49">
        <f t="shared" si="36"/>
        <v>1.17841334251815</v>
      </c>
      <c r="L201" s="49">
        <f t="shared" si="37"/>
        <v>0.36033404035445576</v>
      </c>
      <c r="M201" s="49">
        <f t="shared" si="38"/>
        <v>1.4615842270057113</v>
      </c>
      <c r="N201" s="49">
        <f t="shared" si="39"/>
        <v>0.58830527403683885</v>
      </c>
      <c r="O201" s="49">
        <f t="shared" si="40"/>
        <v>0.24916049759832867</v>
      </c>
      <c r="P201" s="49">
        <f t="shared" si="41"/>
        <v>0.62369980906446199</v>
      </c>
      <c r="Q201" s="49">
        <f t="shared" si="42"/>
        <v>15</v>
      </c>
      <c r="S201" s="1" t="s">
        <v>12</v>
      </c>
      <c r="T201">
        <v>14</v>
      </c>
    </row>
    <row r="202" spans="1:20">
      <c r="A202" s="46" t="s">
        <v>9</v>
      </c>
      <c r="B202" s="49">
        <f t="shared" si="25"/>
        <v>14.5</v>
      </c>
      <c r="C202" s="49">
        <f t="shared" si="25"/>
        <v>4.6999999999999957</v>
      </c>
      <c r="D202" s="49">
        <f t="shared" si="33"/>
        <v>8.0000000000000071</v>
      </c>
      <c r="E202" s="49">
        <f t="shared" si="33"/>
        <v>3.2999999999999972</v>
      </c>
      <c r="F202" s="49">
        <f t="shared" si="33"/>
        <v>6.6000000000000014</v>
      </c>
      <c r="G202" s="49">
        <f t="shared" si="33"/>
        <v>5.6000000000000014</v>
      </c>
      <c r="H202" s="49">
        <f t="shared" si="33"/>
        <v>2.2999999999999972</v>
      </c>
      <c r="I202" s="49">
        <f t="shared" si="34"/>
        <v>1.9400966584385961</v>
      </c>
      <c r="J202" s="49">
        <f t="shared" si="35"/>
        <v>0.78011656709411037</v>
      </c>
      <c r="K202" s="49">
        <f t="shared" si="36"/>
        <v>0.91527249904322383</v>
      </c>
      <c r="L202" s="49">
        <f t="shared" si="37"/>
        <v>0.59455116658485152</v>
      </c>
      <c r="M202" s="49">
        <f t="shared" si="38"/>
        <v>0.70929822781159535</v>
      </c>
      <c r="N202" s="49">
        <f t="shared" si="39"/>
        <v>0.82362738365157462</v>
      </c>
      <c r="O202" s="49">
        <f t="shared" si="40"/>
        <v>0.5730691444761552</v>
      </c>
      <c r="P202" s="49">
        <f t="shared" si="41"/>
        <v>0.90514737815715807</v>
      </c>
      <c r="Q202" s="49">
        <f t="shared" si="42"/>
        <v>19</v>
      </c>
      <c r="S202" s="1" t="s">
        <v>10</v>
      </c>
      <c r="T202">
        <v>13</v>
      </c>
    </row>
    <row r="203" spans="1:20">
      <c r="A203" s="46" t="s">
        <v>10</v>
      </c>
      <c r="B203" s="49">
        <f t="shared" si="25"/>
        <v>4.6999999999999957</v>
      </c>
      <c r="C203" s="49">
        <f t="shared" si="25"/>
        <v>2.8000000000000043</v>
      </c>
      <c r="D203" s="49">
        <f t="shared" si="33"/>
        <v>5.6000000000000014</v>
      </c>
      <c r="E203" s="49">
        <f t="shared" si="33"/>
        <v>2.3999999999999986</v>
      </c>
      <c r="F203" s="49">
        <f t="shared" si="33"/>
        <v>4</v>
      </c>
      <c r="G203" s="49">
        <f t="shared" si="33"/>
        <v>2.6000000000000014</v>
      </c>
      <c r="H203" s="49">
        <f t="shared" si="33"/>
        <v>0.69999999999999929</v>
      </c>
      <c r="I203" s="49">
        <f t="shared" si="34"/>
        <v>0.6288589168731995</v>
      </c>
      <c r="J203" s="49">
        <f t="shared" si="35"/>
        <v>0.46475029529010947</v>
      </c>
      <c r="K203" s="49">
        <f t="shared" si="36"/>
        <v>0.64069074933025627</v>
      </c>
      <c r="L203" s="49">
        <f t="shared" si="37"/>
        <v>0.43240084842534671</v>
      </c>
      <c r="M203" s="49">
        <f t="shared" si="38"/>
        <v>0.42987771382520923</v>
      </c>
      <c r="N203" s="49">
        <f t="shared" si="39"/>
        <v>0.38239842812394548</v>
      </c>
      <c r="O203" s="49">
        <f t="shared" si="40"/>
        <v>0.1744123483188299</v>
      </c>
      <c r="P203" s="49">
        <f t="shared" si="41"/>
        <v>0.4504841857409852</v>
      </c>
      <c r="Q203" s="49">
        <f t="shared" si="42"/>
        <v>13</v>
      </c>
      <c r="S203" s="1" t="s">
        <v>11</v>
      </c>
      <c r="T203">
        <v>12</v>
      </c>
    </row>
    <row r="204" spans="1:20">
      <c r="A204" s="46" t="s">
        <v>11</v>
      </c>
      <c r="B204" s="49">
        <f t="shared" si="25"/>
        <v>5.2999999999999972</v>
      </c>
      <c r="C204" s="49">
        <f t="shared" si="25"/>
        <v>1.6000000000000014</v>
      </c>
      <c r="D204" s="49">
        <f t="shared" si="33"/>
        <v>4.2000000000000028</v>
      </c>
      <c r="E204" s="49">
        <f t="shared" si="33"/>
        <v>-0.90000000000000568</v>
      </c>
      <c r="F204" s="49">
        <f t="shared" si="33"/>
        <v>-2</v>
      </c>
      <c r="G204" s="49">
        <f t="shared" si="33"/>
        <v>1.5</v>
      </c>
      <c r="H204" s="49">
        <f t="shared" si="33"/>
        <v>3.7999999999999972</v>
      </c>
      <c r="I204" s="49">
        <f t="shared" si="34"/>
        <v>0.70913877860169339</v>
      </c>
      <c r="J204" s="49">
        <f t="shared" si="35"/>
        <v>0.26557159730863378</v>
      </c>
      <c r="K204" s="49">
        <f t="shared" si="36"/>
        <v>0.48051806199769243</v>
      </c>
      <c r="L204" s="49">
        <f t="shared" si="37"/>
        <v>-0.16215031815950612</v>
      </c>
      <c r="M204" s="49">
        <f t="shared" si="38"/>
        <v>-0.21493885691260461</v>
      </c>
      <c r="N204" s="49">
        <f t="shared" si="39"/>
        <v>0.22061447776381457</v>
      </c>
      <c r="O204" s="49">
        <f t="shared" si="40"/>
        <v>0.94680989087364831</v>
      </c>
      <c r="P204" s="49">
        <f t="shared" si="41"/>
        <v>0.32079480449619596</v>
      </c>
      <c r="Q204" s="49">
        <f t="shared" si="42"/>
        <v>12</v>
      </c>
      <c r="S204" s="1" t="s">
        <v>0</v>
      </c>
      <c r="T204">
        <v>11</v>
      </c>
    </row>
    <row r="205" spans="1:20">
      <c r="A205" s="46" t="s">
        <v>12</v>
      </c>
      <c r="B205" s="49">
        <f t="shared" si="25"/>
        <v>3.3999999999999986</v>
      </c>
      <c r="C205" s="49">
        <f t="shared" si="25"/>
        <v>8.6999999999999957</v>
      </c>
      <c r="D205" s="49">
        <f t="shared" si="33"/>
        <v>7.8000000000000043</v>
      </c>
      <c r="E205" s="49">
        <f t="shared" si="33"/>
        <v>-2.1000000000000014</v>
      </c>
      <c r="F205" s="49">
        <f t="shared" si="33"/>
        <v>0.20000000000000284</v>
      </c>
      <c r="G205" s="49">
        <f t="shared" si="33"/>
        <v>2.8999999999999986</v>
      </c>
      <c r="H205" s="49">
        <f t="shared" si="33"/>
        <v>4.1999999999999957</v>
      </c>
      <c r="I205" s="49">
        <f t="shared" si="34"/>
        <v>0.45491921646146372</v>
      </c>
      <c r="J205" s="49">
        <f t="shared" si="35"/>
        <v>1.4440455603656943</v>
      </c>
      <c r="K205" s="49">
        <f t="shared" si="36"/>
        <v>0.89239068656714293</v>
      </c>
      <c r="L205" s="49">
        <f t="shared" si="37"/>
        <v>-0.37835074237217881</v>
      </c>
      <c r="M205" s="49">
        <f t="shared" si="38"/>
        <v>2.1493885691260765E-2</v>
      </c>
      <c r="N205" s="49">
        <f t="shared" si="39"/>
        <v>0.42652132367670798</v>
      </c>
      <c r="O205" s="49">
        <f t="shared" si="40"/>
        <v>1.0464740899129794</v>
      </c>
      <c r="P205" s="49">
        <f t="shared" si="41"/>
        <v>0.55821343147186719</v>
      </c>
      <c r="Q205" s="49">
        <f t="shared" si="42"/>
        <v>14</v>
      </c>
      <c r="S205" s="1" t="s">
        <v>4</v>
      </c>
      <c r="T205">
        <v>10</v>
      </c>
    </row>
    <row r="206" spans="1:20">
      <c r="A206" s="46" t="s">
        <v>13</v>
      </c>
      <c r="B206" s="49">
        <f t="shared" si="25"/>
        <v>3.3999999999999986</v>
      </c>
      <c r="C206" s="49">
        <f t="shared" si="25"/>
        <v>6.6000000000000014</v>
      </c>
      <c r="D206" s="49">
        <f t="shared" ref="D206:H213" si="43">D83-D$66</f>
        <v>8.0000000000000071</v>
      </c>
      <c r="E206" s="49">
        <f t="shared" si="43"/>
        <v>5.3999999999999986</v>
      </c>
      <c r="F206" s="49">
        <f t="shared" si="43"/>
        <v>1.2000000000000028</v>
      </c>
      <c r="G206" s="49">
        <f t="shared" si="43"/>
        <v>5.6000000000000014</v>
      </c>
      <c r="H206" s="49">
        <f t="shared" si="43"/>
        <v>7.7999999999999972</v>
      </c>
      <c r="I206" s="49">
        <f t="shared" si="34"/>
        <v>0.45491921646146372</v>
      </c>
      <c r="J206" s="49">
        <f t="shared" si="35"/>
        <v>1.0954828388981137</v>
      </c>
      <c r="K206" s="49">
        <f t="shared" si="36"/>
        <v>0.91527249904322383</v>
      </c>
      <c r="L206" s="49">
        <f t="shared" si="37"/>
        <v>0.97290190895703033</v>
      </c>
      <c r="M206" s="49">
        <f t="shared" si="38"/>
        <v>0.12896331414756307</v>
      </c>
      <c r="N206" s="49">
        <f t="shared" si="39"/>
        <v>0.82362738365157462</v>
      </c>
      <c r="O206" s="49">
        <f t="shared" si="40"/>
        <v>1.943451881266963</v>
      </c>
      <c r="P206" s="49">
        <f t="shared" si="41"/>
        <v>0.90494557748941895</v>
      </c>
      <c r="Q206" s="49">
        <f t="shared" si="42"/>
        <v>18</v>
      </c>
      <c r="S206" s="1" t="s">
        <v>2</v>
      </c>
      <c r="T206">
        <v>9</v>
      </c>
    </row>
    <row r="207" spans="1:20">
      <c r="A207" s="46" t="s">
        <v>14</v>
      </c>
      <c r="B207" s="49">
        <f t="shared" si="25"/>
        <v>-2.7000000000000028</v>
      </c>
      <c r="C207" s="49">
        <f t="shared" si="25"/>
        <v>2.3000000000000043</v>
      </c>
      <c r="D207" s="49">
        <f t="shared" si="43"/>
        <v>-1.2999999999999972</v>
      </c>
      <c r="E207" s="49">
        <f t="shared" si="43"/>
        <v>-4.3000000000000043</v>
      </c>
      <c r="F207" s="49">
        <f t="shared" si="43"/>
        <v>-3.2999999999999972</v>
      </c>
      <c r="G207" s="49">
        <f t="shared" si="43"/>
        <v>-0.79999999999999716</v>
      </c>
      <c r="H207" s="49">
        <f t="shared" si="43"/>
        <v>-1.5</v>
      </c>
      <c r="I207" s="49">
        <f t="shared" si="34"/>
        <v>-0.3612593777782217</v>
      </c>
      <c r="J207" s="49">
        <f t="shared" si="35"/>
        <v>0.38175917113116148</v>
      </c>
      <c r="K207" s="49">
        <f t="shared" si="36"/>
        <v>-0.14873178109452342</v>
      </c>
      <c r="L207" s="49">
        <f t="shared" si="37"/>
        <v>-0.77471818676208071</v>
      </c>
      <c r="M207" s="49">
        <f t="shared" si="38"/>
        <v>-0.35464911390579729</v>
      </c>
      <c r="N207" s="49">
        <f t="shared" si="39"/>
        <v>-0.11766105480736735</v>
      </c>
      <c r="O207" s="49">
        <f t="shared" si="40"/>
        <v>-0.373740746397493</v>
      </c>
      <c r="P207" s="49">
        <f t="shared" si="41"/>
        <v>-0.24985729851633171</v>
      </c>
      <c r="Q207" s="49">
        <f t="shared" si="42"/>
        <v>7</v>
      </c>
      <c r="S207" s="1" t="s">
        <v>15</v>
      </c>
      <c r="T207">
        <v>8</v>
      </c>
    </row>
    <row r="208" spans="1:20">
      <c r="A208" s="46" t="s">
        <v>15</v>
      </c>
      <c r="B208" s="49">
        <f t="shared" si="25"/>
        <v>7.5999999999999943</v>
      </c>
      <c r="C208" s="49">
        <f t="shared" si="25"/>
        <v>2.8999999999999986</v>
      </c>
      <c r="D208" s="49">
        <f t="shared" si="43"/>
        <v>1.5</v>
      </c>
      <c r="E208" s="49">
        <f t="shared" si="43"/>
        <v>-5.6000000000000014</v>
      </c>
      <c r="F208" s="49">
        <f t="shared" si="43"/>
        <v>-7.3000000000000007</v>
      </c>
      <c r="G208" s="49">
        <f t="shared" si="43"/>
        <v>-5.2999999999999972</v>
      </c>
      <c r="H208" s="49">
        <f t="shared" si="43"/>
        <v>0.29999999999999716</v>
      </c>
      <c r="I208" s="49">
        <f t="shared" si="34"/>
        <v>1.0168782485609185</v>
      </c>
      <c r="J208" s="49">
        <f t="shared" si="35"/>
        <v>0.4813485201218981</v>
      </c>
      <c r="K208" s="49">
        <f t="shared" si="36"/>
        <v>0.17161359357060432</v>
      </c>
      <c r="L208" s="49">
        <f t="shared" si="37"/>
        <v>-1.0089353129924765</v>
      </c>
      <c r="M208" s="49">
        <f t="shared" si="38"/>
        <v>-0.7845268277310069</v>
      </c>
      <c r="N208" s="49">
        <f t="shared" si="39"/>
        <v>-0.77950448809881112</v>
      </c>
      <c r="O208" s="49">
        <f t="shared" si="40"/>
        <v>7.4748149279497897E-2</v>
      </c>
      <c r="P208" s="49">
        <f t="shared" si="41"/>
        <v>-0.11833973104133941</v>
      </c>
      <c r="Q208" s="49">
        <f t="shared" si="42"/>
        <v>8</v>
      </c>
      <c r="S208" s="1" t="s">
        <v>14</v>
      </c>
      <c r="T208">
        <v>7</v>
      </c>
    </row>
    <row r="209" spans="1:35">
      <c r="A209" s="46" t="s">
        <v>16</v>
      </c>
      <c r="B209" s="49">
        <f t="shared" si="25"/>
        <v>-11.300000000000004</v>
      </c>
      <c r="C209" s="49">
        <f t="shared" si="25"/>
        <v>3.3000000000000043</v>
      </c>
      <c r="D209" s="49">
        <f t="shared" si="43"/>
        <v>-1.1999999999999957</v>
      </c>
      <c r="E209" s="49">
        <f t="shared" si="43"/>
        <v>-4.6000000000000014</v>
      </c>
      <c r="F209" s="49">
        <f t="shared" si="43"/>
        <v>-14.100000000000001</v>
      </c>
      <c r="G209" s="49">
        <f t="shared" si="43"/>
        <v>-13.399999999999999</v>
      </c>
      <c r="H209" s="49">
        <f t="shared" si="43"/>
        <v>-4</v>
      </c>
      <c r="I209" s="49">
        <f t="shared" si="34"/>
        <v>-1.5119373958866307</v>
      </c>
      <c r="J209" s="49">
        <f t="shared" si="35"/>
        <v>0.54774141944905741</v>
      </c>
      <c r="K209" s="49">
        <f t="shared" si="36"/>
        <v>-0.13729087485648298</v>
      </c>
      <c r="L209" s="49">
        <f t="shared" si="37"/>
        <v>-0.82876829281524855</v>
      </c>
      <c r="M209" s="49">
        <f t="shared" si="38"/>
        <v>-1.5153189412338626</v>
      </c>
      <c r="N209" s="49">
        <f t="shared" si="39"/>
        <v>-1.97082266802341</v>
      </c>
      <c r="O209" s="49">
        <f t="shared" si="40"/>
        <v>-0.99664199039331469</v>
      </c>
      <c r="P209" s="49">
        <f t="shared" si="41"/>
        <v>-0.91614839196569875</v>
      </c>
      <c r="Q209" s="49">
        <f t="shared" si="42"/>
        <v>5</v>
      </c>
      <c r="S209" s="1" t="s">
        <v>21</v>
      </c>
      <c r="T209">
        <v>6</v>
      </c>
    </row>
    <row r="210" spans="1:35">
      <c r="A210" s="46" t="s">
        <v>17</v>
      </c>
      <c r="B210" s="49">
        <f t="shared" si="25"/>
        <v>-8.1000000000000014</v>
      </c>
      <c r="C210" s="49">
        <f t="shared" si="25"/>
        <v>-7.5</v>
      </c>
      <c r="D210" s="49">
        <f t="shared" si="43"/>
        <v>-14.100000000000001</v>
      </c>
      <c r="E210" s="49">
        <f t="shared" si="43"/>
        <v>-7.2000000000000028</v>
      </c>
      <c r="F210" s="49">
        <f t="shared" si="43"/>
        <v>-11.100000000000001</v>
      </c>
      <c r="G210" s="49">
        <f t="shared" si="43"/>
        <v>-7</v>
      </c>
      <c r="H210" s="49">
        <f t="shared" si="43"/>
        <v>-7.8000000000000007</v>
      </c>
      <c r="I210" s="49">
        <f t="shared" si="34"/>
        <v>-1.0837781333346641</v>
      </c>
      <c r="J210" s="49">
        <f t="shared" si="35"/>
        <v>-1.2448668623842198</v>
      </c>
      <c r="K210" s="49">
        <f t="shared" si="36"/>
        <v>-1.6131677795636807</v>
      </c>
      <c r="L210" s="49">
        <f t="shared" si="37"/>
        <v>-1.2972025452760414</v>
      </c>
      <c r="M210" s="49">
        <f t="shared" si="38"/>
        <v>-1.1929106558649556</v>
      </c>
      <c r="N210" s="49">
        <f>G210/G$237</f>
        <v>-1.0295342295644681</v>
      </c>
      <c r="O210" s="49">
        <f t="shared" si="40"/>
        <v>-1.9434518812669639</v>
      </c>
      <c r="P210" s="49">
        <f t="shared" si="41"/>
        <v>-1.3435588696078562</v>
      </c>
      <c r="Q210" s="49">
        <f t="shared" si="42"/>
        <v>2</v>
      </c>
      <c r="S210" s="1" t="s">
        <v>16</v>
      </c>
      <c r="T210">
        <v>5</v>
      </c>
    </row>
    <row r="211" spans="1:35">
      <c r="A211" s="46" t="s">
        <v>18</v>
      </c>
      <c r="B211" s="49">
        <f t="shared" si="25"/>
        <v>-7.7000000000000028</v>
      </c>
      <c r="C211" s="49">
        <f t="shared" si="25"/>
        <v>-2.6999999999999957</v>
      </c>
      <c r="D211" s="49">
        <f t="shared" si="43"/>
        <v>-6</v>
      </c>
      <c r="E211" s="49">
        <f t="shared" si="43"/>
        <v>-9.7000000000000028</v>
      </c>
      <c r="F211" s="49">
        <f t="shared" si="43"/>
        <v>-13.2</v>
      </c>
      <c r="G211" s="49">
        <f t="shared" si="43"/>
        <v>-10.600000000000001</v>
      </c>
      <c r="H211" s="49">
        <f t="shared" si="43"/>
        <v>-2.8000000000000007</v>
      </c>
      <c r="I211" s="49">
        <f t="shared" si="34"/>
        <v>-1.0302582255156687</v>
      </c>
      <c r="J211" s="49">
        <f t="shared" si="35"/>
        <v>-0.44815207045831845</v>
      </c>
      <c r="K211" s="49">
        <f t="shared" si="36"/>
        <v>-0.68645437428241729</v>
      </c>
      <c r="L211" s="49">
        <f t="shared" si="37"/>
        <v>-1.747620095719111</v>
      </c>
      <c r="M211" s="49">
        <f>F211/F$237</f>
        <v>-1.4185964556231903</v>
      </c>
      <c r="N211" s="49">
        <f t="shared" si="39"/>
        <v>-1.5590089761976234</v>
      </c>
      <c r="O211" s="49">
        <f t="shared" si="40"/>
        <v>-0.6976493932753205</v>
      </c>
      <c r="P211" s="49">
        <f t="shared" si="41"/>
        <v>-1.0839627987245213</v>
      </c>
      <c r="Q211" s="49">
        <f t="shared" si="42"/>
        <v>4</v>
      </c>
      <c r="S211" s="1" t="s">
        <v>18</v>
      </c>
      <c r="T211">
        <v>4</v>
      </c>
    </row>
    <row r="212" spans="1:35">
      <c r="A212" s="46" t="s">
        <v>19</v>
      </c>
      <c r="B212" s="49">
        <f t="shared" si="25"/>
        <v>-12.400000000000002</v>
      </c>
      <c r="C212" s="49">
        <f t="shared" si="25"/>
        <v>-0.60000000000000142</v>
      </c>
      <c r="D212" s="49">
        <f t="shared" si="43"/>
        <v>-5.3999999999999986</v>
      </c>
      <c r="E212" s="49">
        <f t="shared" si="43"/>
        <v>-10.300000000000004</v>
      </c>
      <c r="F212" s="49">
        <f t="shared" si="43"/>
        <v>-12.7</v>
      </c>
      <c r="G212" s="49">
        <f t="shared" si="43"/>
        <v>-13.699999999999996</v>
      </c>
      <c r="H212" s="49">
        <f t="shared" si="43"/>
        <v>-3</v>
      </c>
      <c r="I212" s="49">
        <f t="shared" si="34"/>
        <v>-1.6591171423888686</v>
      </c>
      <c r="J212" s="49">
        <f t="shared" si="35"/>
        <v>-9.9589348990737819E-2</v>
      </c>
      <c r="K212" s="49">
        <f t="shared" si="36"/>
        <v>-0.61780893685417537</v>
      </c>
      <c r="L212" s="49">
        <f t="shared" si="37"/>
        <v>-1.8557203078254481</v>
      </c>
      <c r="M212" s="49">
        <f t="shared" si="38"/>
        <v>-1.3648617413950392</v>
      </c>
      <c r="N212" s="49">
        <f t="shared" si="39"/>
        <v>-2.0149455635761724</v>
      </c>
      <c r="O212" s="49">
        <f t="shared" si="40"/>
        <v>-0.74748149279498599</v>
      </c>
      <c r="P212" s="49">
        <f t="shared" si="41"/>
        <v>-1.1942177905464895</v>
      </c>
      <c r="Q212" s="49">
        <f t="shared" si="42"/>
        <v>3</v>
      </c>
      <c r="S212" s="1" t="s">
        <v>19</v>
      </c>
      <c r="T212">
        <v>3</v>
      </c>
    </row>
    <row r="213" spans="1:35">
      <c r="A213" s="46" t="s">
        <v>20</v>
      </c>
      <c r="B213" s="49">
        <f t="shared" si="25"/>
        <v>-7.6000000000000014</v>
      </c>
      <c r="C213" s="49">
        <f t="shared" si="25"/>
        <v>-10.799999999999997</v>
      </c>
      <c r="D213" s="49">
        <f t="shared" si="43"/>
        <v>-17.100000000000001</v>
      </c>
      <c r="E213" s="49">
        <f t="shared" si="43"/>
        <v>-10.500000000000004</v>
      </c>
      <c r="F213" s="49">
        <f t="shared" si="43"/>
        <v>-13.600000000000001</v>
      </c>
      <c r="G213" s="49">
        <f t="shared" si="43"/>
        <v>-11.399999999999999</v>
      </c>
      <c r="H213" s="49">
        <f t="shared" si="43"/>
        <v>-8.8000000000000007</v>
      </c>
      <c r="I213" s="49">
        <f t="shared" si="34"/>
        <v>-1.0168782485609196</v>
      </c>
      <c r="J213" s="49">
        <f t="shared" si="35"/>
        <v>-1.792608281833276</v>
      </c>
      <c r="K213" s="49">
        <f t="shared" si="36"/>
        <v>-1.9563949667048894</v>
      </c>
      <c r="L213" s="49">
        <f t="shared" si="37"/>
        <v>-1.8917537118608936</v>
      </c>
      <c r="M213" s="49">
        <f t="shared" si="38"/>
        <v>-1.4615842270057113</v>
      </c>
      <c r="N213" s="49">
        <f t="shared" si="39"/>
        <v>-1.6766700310049907</v>
      </c>
      <c r="O213" s="49">
        <f t="shared" si="40"/>
        <v>-2.1926123788652925</v>
      </c>
      <c r="P213" s="49">
        <f t="shared" si="41"/>
        <v>-1.7126431208337105</v>
      </c>
      <c r="Q213" s="49">
        <f t="shared" si="42"/>
        <v>1</v>
      </c>
      <c r="S213" s="1" t="s">
        <v>17</v>
      </c>
      <c r="T213">
        <v>2</v>
      </c>
    </row>
    <row r="214" spans="1:35">
      <c r="A214" s="46" t="s">
        <v>21</v>
      </c>
      <c r="B214" s="49">
        <f>B91-B$66</f>
        <v>10.5</v>
      </c>
      <c r="C214" s="49">
        <f t="shared" ref="C214:H214" si="44">C91-C$66</f>
        <v>-11.600000000000001</v>
      </c>
      <c r="D214" s="49">
        <f t="shared" si="44"/>
        <v>-17.799999999999997</v>
      </c>
      <c r="E214" s="49">
        <f t="shared" si="44"/>
        <v>-2.6000000000000014</v>
      </c>
      <c r="F214" s="49">
        <f t="shared" si="44"/>
        <v>2.5</v>
      </c>
      <c r="G214" s="49">
        <f t="shared" si="44"/>
        <v>-2.6000000000000014</v>
      </c>
      <c r="H214" s="49">
        <f t="shared" si="44"/>
        <v>-3.6000000000000014</v>
      </c>
      <c r="I214" s="49">
        <f t="shared" si="34"/>
        <v>1.4048975802486385</v>
      </c>
      <c r="J214" s="49">
        <f t="shared" si="35"/>
        <v>-1.9253940804875935</v>
      </c>
      <c r="K214" s="49">
        <f t="shared" si="36"/>
        <v>-2.0364813103711707</v>
      </c>
      <c r="L214" s="49">
        <f t="shared" si="37"/>
        <v>-0.46843425246079279</v>
      </c>
      <c r="M214" s="49">
        <f t="shared" si="38"/>
        <v>0.26867357114075574</v>
      </c>
      <c r="N214" s="49">
        <f t="shared" si="39"/>
        <v>-0.38239842812394548</v>
      </c>
      <c r="O214" s="49">
        <f t="shared" si="40"/>
        <v>-0.89697779135398359</v>
      </c>
      <c r="P214" s="49">
        <f t="shared" si="41"/>
        <v>-0.57658781591544173</v>
      </c>
      <c r="Q214" s="49">
        <f t="shared" si="42"/>
        <v>6</v>
      </c>
      <c r="S214" s="1" t="s">
        <v>20</v>
      </c>
      <c r="T214">
        <v>1</v>
      </c>
    </row>
    <row r="215" spans="1:35">
      <c r="B215" s="49"/>
      <c r="P215" s="49"/>
    </row>
    <row r="216" spans="1:35">
      <c r="A216" s="66" t="s">
        <v>171</v>
      </c>
      <c r="B216" s="52"/>
      <c r="C216" s="55"/>
    </row>
    <row r="217" spans="1:35">
      <c r="A217" s="46" t="s">
        <v>0</v>
      </c>
      <c r="B217" s="49">
        <f>B195^2</f>
        <v>21.159999999999947</v>
      </c>
      <c r="C217" s="49">
        <f>C195^2</f>
        <v>6.25</v>
      </c>
      <c r="D217" s="49">
        <f>D195^2</f>
        <v>16.810000000000013</v>
      </c>
      <c r="E217" s="49">
        <f>E195^2</f>
        <v>1.0000000000000285E-2</v>
      </c>
      <c r="F217" s="49">
        <f t="shared" ref="F217:H217" si="45">F195^2</f>
        <v>15.209999999999988</v>
      </c>
      <c r="G217" s="49">
        <f t="shared" si="45"/>
        <v>12.25</v>
      </c>
      <c r="H217" s="49">
        <f t="shared" si="45"/>
        <v>1.2100000000000031</v>
      </c>
      <c r="K217" s="46"/>
      <c r="L217" s="46"/>
      <c r="M217" s="46"/>
      <c r="N217" s="46"/>
      <c r="O217" s="46"/>
      <c r="P217" s="46"/>
      <c r="Q217" s="46"/>
      <c r="R217" s="46"/>
      <c r="V217" s="61"/>
    </row>
    <row r="218" spans="1:35">
      <c r="A218" s="46" t="s">
        <v>87</v>
      </c>
      <c r="B218" s="49">
        <f t="shared" ref="B218:H231" si="46">B196^2</f>
        <v>46.239999999999959</v>
      </c>
      <c r="C218" s="49">
        <f t="shared" si="46"/>
        <v>75.689999999999927</v>
      </c>
      <c r="D218" s="49">
        <f t="shared" si="46"/>
        <v>57.760000000000019</v>
      </c>
      <c r="E218" s="49">
        <f t="shared" si="46"/>
        <v>1</v>
      </c>
      <c r="F218" s="49">
        <f t="shared" si="46"/>
        <v>139.23999999999992</v>
      </c>
      <c r="G218" s="49">
        <f t="shared" si="46"/>
        <v>3.2400000000000153</v>
      </c>
      <c r="H218" s="49">
        <f t="shared" si="46"/>
        <v>3.6099999999999945</v>
      </c>
      <c r="K218" s="44"/>
      <c r="L218" s="44"/>
      <c r="M218" s="44"/>
      <c r="N218" s="44"/>
      <c r="O218" s="44"/>
      <c r="P218" s="44"/>
      <c r="Q218" s="44"/>
      <c r="R218" s="44"/>
      <c r="V218" s="46"/>
      <c r="W218" s="46"/>
      <c r="X218" s="46"/>
      <c r="Y218" s="46"/>
      <c r="Z218" s="46"/>
      <c r="AA218" s="46"/>
      <c r="AB218" s="46"/>
      <c r="AC218" s="46"/>
      <c r="AF218" s="46"/>
      <c r="AH218" s="46"/>
      <c r="AI218" s="46"/>
    </row>
    <row r="219" spans="1:35">
      <c r="A219" s="46" t="s">
        <v>2</v>
      </c>
      <c r="B219" s="49">
        <f t="shared" si="46"/>
        <v>79.210000000000036</v>
      </c>
      <c r="C219" s="49">
        <f t="shared" si="46"/>
        <v>1.959999999999996</v>
      </c>
      <c r="D219" s="49">
        <f t="shared" si="46"/>
        <v>0.36000000000000171</v>
      </c>
      <c r="E219" s="49">
        <f t="shared" si="46"/>
        <v>1</v>
      </c>
      <c r="F219" s="49">
        <f t="shared" si="46"/>
        <v>17.640000000000025</v>
      </c>
      <c r="G219" s="49">
        <f t="shared" si="46"/>
        <v>1.4400000000000068</v>
      </c>
      <c r="H219" s="49">
        <f t="shared" si="46"/>
        <v>0.35999999999999743</v>
      </c>
      <c r="K219" s="44"/>
      <c r="L219" s="44"/>
      <c r="M219" s="44"/>
      <c r="N219" s="44"/>
      <c r="O219" s="44"/>
      <c r="P219" s="44"/>
      <c r="Q219" s="44"/>
      <c r="R219" s="44"/>
      <c r="V219" s="44"/>
      <c r="AH219" s="44"/>
    </row>
    <row r="220" spans="1:35">
      <c r="A220" s="46" t="s">
        <v>3</v>
      </c>
      <c r="B220" s="49">
        <f t="shared" si="46"/>
        <v>16</v>
      </c>
      <c r="C220" s="49">
        <f t="shared" si="46"/>
        <v>28.090000000000046</v>
      </c>
      <c r="D220" s="49">
        <f t="shared" si="46"/>
        <v>67.239999999999924</v>
      </c>
      <c r="E220" s="49">
        <f t="shared" si="46"/>
        <v>34.809999999999981</v>
      </c>
      <c r="F220" s="49">
        <f t="shared" si="46"/>
        <v>73.960000000000022</v>
      </c>
      <c r="G220" s="49">
        <f t="shared" si="46"/>
        <v>56.25</v>
      </c>
      <c r="H220" s="49">
        <f t="shared" si="46"/>
        <v>21.160000000000014</v>
      </c>
      <c r="K220" s="44"/>
      <c r="L220" s="44"/>
      <c r="M220" s="44"/>
      <c r="N220" s="44"/>
      <c r="O220" s="44"/>
      <c r="P220" s="44"/>
      <c r="Q220" s="44"/>
      <c r="R220" s="44"/>
      <c r="V220" s="44"/>
      <c r="AH220" s="44"/>
    </row>
    <row r="221" spans="1:35">
      <c r="A221" s="46" t="s">
        <v>4</v>
      </c>
      <c r="B221" s="49">
        <f t="shared" si="46"/>
        <v>21.160000000000014</v>
      </c>
      <c r="C221" s="49">
        <f t="shared" si="46"/>
        <v>47.609999999999978</v>
      </c>
      <c r="D221" s="49">
        <f t="shared" si="46"/>
        <v>1.959999999999996</v>
      </c>
      <c r="E221" s="49">
        <f t="shared" si="46"/>
        <v>64</v>
      </c>
      <c r="F221" s="49">
        <f t="shared" si="46"/>
        <v>292.41000000000003</v>
      </c>
      <c r="G221" s="49">
        <f t="shared" si="46"/>
        <v>43.560000000000016</v>
      </c>
      <c r="H221" s="49">
        <f t="shared" si="46"/>
        <v>4.4100000000000064</v>
      </c>
      <c r="K221" s="44"/>
      <c r="L221" s="44"/>
      <c r="M221" s="44"/>
      <c r="N221" s="44"/>
      <c r="O221" s="44"/>
      <c r="P221" s="44"/>
      <c r="Q221" s="44"/>
      <c r="R221" s="44"/>
      <c r="V221" s="44"/>
      <c r="AH221" s="44"/>
    </row>
    <row r="222" spans="1:35">
      <c r="A222" s="46" t="s">
        <v>7</v>
      </c>
      <c r="B222" s="49">
        <f t="shared" si="46"/>
        <v>1.4399999999999897</v>
      </c>
      <c r="C222" s="49">
        <f t="shared" si="46"/>
        <v>43.560000000000016</v>
      </c>
      <c r="D222" s="49">
        <f t="shared" si="46"/>
        <v>161.28999999999988</v>
      </c>
      <c r="E222" s="49">
        <f t="shared" si="46"/>
        <v>20.25</v>
      </c>
      <c r="F222" s="49">
        <f t="shared" si="46"/>
        <v>30.25</v>
      </c>
      <c r="G222" s="49">
        <f t="shared" si="46"/>
        <v>17.640000000000025</v>
      </c>
      <c r="H222" s="49">
        <f t="shared" si="46"/>
        <v>5.2899999999999867</v>
      </c>
      <c r="K222" s="44"/>
      <c r="L222" s="44"/>
      <c r="M222" s="44"/>
      <c r="N222" s="44"/>
      <c r="O222" s="44"/>
      <c r="P222" s="44"/>
      <c r="Q222" s="44"/>
      <c r="R222" s="44"/>
      <c r="V222" s="44"/>
      <c r="AH222" s="44"/>
    </row>
    <row r="223" spans="1:35">
      <c r="A223" s="46" t="s">
        <v>8</v>
      </c>
      <c r="B223" s="49">
        <f t="shared" si="46"/>
        <v>9</v>
      </c>
      <c r="C223" s="49">
        <f t="shared" si="46"/>
        <v>31.360000000000017</v>
      </c>
      <c r="D223" s="49">
        <f t="shared" si="46"/>
        <v>106.09000000000009</v>
      </c>
      <c r="E223" s="49">
        <f t="shared" si="46"/>
        <v>4</v>
      </c>
      <c r="F223" s="49">
        <f t="shared" si="46"/>
        <v>184.96000000000004</v>
      </c>
      <c r="G223" s="49">
        <f t="shared" si="46"/>
        <v>16</v>
      </c>
      <c r="H223" s="49">
        <f t="shared" si="46"/>
        <v>1</v>
      </c>
      <c r="K223" s="44"/>
      <c r="L223" s="44"/>
      <c r="M223" s="44"/>
      <c r="N223" s="44"/>
      <c r="O223" s="44"/>
      <c r="P223" s="44"/>
      <c r="Q223" s="44"/>
      <c r="R223" s="44"/>
      <c r="V223" s="44"/>
      <c r="AH223" s="44"/>
    </row>
    <row r="224" spans="1:35">
      <c r="A224" s="46" t="s">
        <v>9</v>
      </c>
      <c r="B224" s="49">
        <f t="shared" si="46"/>
        <v>210.25</v>
      </c>
      <c r="C224" s="49">
        <f t="shared" si="46"/>
        <v>22.089999999999961</v>
      </c>
      <c r="D224" s="49">
        <f t="shared" si="46"/>
        <v>64.000000000000114</v>
      </c>
      <c r="E224" s="49">
        <f t="shared" si="46"/>
        <v>10.889999999999981</v>
      </c>
      <c r="F224" s="49">
        <f t="shared" si="46"/>
        <v>43.560000000000016</v>
      </c>
      <c r="G224" s="49">
        <f t="shared" si="46"/>
        <v>31.360000000000017</v>
      </c>
      <c r="H224" s="49">
        <f t="shared" si="46"/>
        <v>5.2899999999999867</v>
      </c>
      <c r="K224" s="44"/>
    </row>
    <row r="225" spans="1:16">
      <c r="A225" s="46" t="s">
        <v>10</v>
      </c>
      <c r="B225" s="49">
        <f t="shared" si="46"/>
        <v>22.089999999999961</v>
      </c>
      <c r="C225" s="49">
        <f t="shared" si="46"/>
        <v>7.8400000000000238</v>
      </c>
      <c r="D225" s="49">
        <f t="shared" si="46"/>
        <v>31.360000000000017</v>
      </c>
      <c r="E225" s="49">
        <f t="shared" si="46"/>
        <v>5.7599999999999936</v>
      </c>
      <c r="F225" s="49">
        <f t="shared" si="46"/>
        <v>16</v>
      </c>
      <c r="G225" s="49">
        <f t="shared" si="46"/>
        <v>6.7600000000000078</v>
      </c>
      <c r="H225" s="49">
        <f t="shared" si="46"/>
        <v>0.48999999999999899</v>
      </c>
      <c r="K225" s="44"/>
    </row>
    <row r="226" spans="1:16">
      <c r="A226" s="46" t="s">
        <v>11</v>
      </c>
      <c r="B226" s="49">
        <f t="shared" si="46"/>
        <v>28.089999999999971</v>
      </c>
      <c r="C226" s="49">
        <f t="shared" si="46"/>
        <v>2.5600000000000045</v>
      </c>
      <c r="D226" s="49">
        <f t="shared" si="46"/>
        <v>17.640000000000025</v>
      </c>
      <c r="E226" s="49">
        <f t="shared" si="46"/>
        <v>0.81000000000001027</v>
      </c>
      <c r="F226" s="49">
        <f t="shared" si="46"/>
        <v>4</v>
      </c>
      <c r="G226" s="49">
        <f t="shared" si="46"/>
        <v>2.25</v>
      </c>
      <c r="H226" s="49">
        <f t="shared" si="46"/>
        <v>14.439999999999978</v>
      </c>
      <c r="K226" s="44"/>
    </row>
    <row r="227" spans="1:16">
      <c r="A227" s="46" t="s">
        <v>12</v>
      </c>
      <c r="B227" s="49">
        <f t="shared" si="46"/>
        <v>11.55999999999999</v>
      </c>
      <c r="C227" s="49">
        <f t="shared" si="46"/>
        <v>75.689999999999927</v>
      </c>
      <c r="D227" s="49">
        <f t="shared" si="46"/>
        <v>60.840000000000067</v>
      </c>
      <c r="E227" s="49">
        <f t="shared" si="46"/>
        <v>4.4100000000000064</v>
      </c>
      <c r="F227" s="49">
        <f t="shared" si="46"/>
        <v>4.0000000000001139E-2</v>
      </c>
      <c r="G227" s="49">
        <f t="shared" si="46"/>
        <v>8.4099999999999913</v>
      </c>
      <c r="H227" s="49">
        <f t="shared" si="46"/>
        <v>17.639999999999965</v>
      </c>
      <c r="K227" s="44"/>
    </row>
    <row r="228" spans="1:16">
      <c r="A228" s="46" t="s">
        <v>13</v>
      </c>
      <c r="B228" s="49">
        <f t="shared" si="46"/>
        <v>11.55999999999999</v>
      </c>
      <c r="C228" s="49">
        <f t="shared" si="46"/>
        <v>43.560000000000016</v>
      </c>
      <c r="D228" s="49">
        <f t="shared" si="46"/>
        <v>64.000000000000114</v>
      </c>
      <c r="E228" s="49">
        <f t="shared" si="46"/>
        <v>29.159999999999986</v>
      </c>
      <c r="F228" s="49">
        <f t="shared" si="46"/>
        <v>1.4400000000000068</v>
      </c>
      <c r="G228" s="49">
        <f t="shared" si="46"/>
        <v>31.360000000000017</v>
      </c>
      <c r="H228" s="49">
        <f t="shared" si="46"/>
        <v>60.839999999999954</v>
      </c>
      <c r="K228" s="44"/>
    </row>
    <row r="229" spans="1:16">
      <c r="A229" s="46" t="s">
        <v>14</v>
      </c>
      <c r="B229" s="49">
        <f t="shared" si="46"/>
        <v>7.2900000000000151</v>
      </c>
      <c r="C229" s="49">
        <f t="shared" si="46"/>
        <v>5.2900000000000196</v>
      </c>
      <c r="D229" s="49">
        <f t="shared" si="46"/>
        <v>1.6899999999999926</v>
      </c>
      <c r="E229" s="49">
        <f t="shared" si="46"/>
        <v>18.490000000000038</v>
      </c>
      <c r="F229" s="49">
        <f t="shared" si="46"/>
        <v>10.889999999999981</v>
      </c>
      <c r="G229" s="49">
        <f t="shared" si="46"/>
        <v>0.63999999999999546</v>
      </c>
      <c r="H229" s="49">
        <f t="shared" si="46"/>
        <v>2.25</v>
      </c>
      <c r="K229" s="44"/>
    </row>
    <row r="230" spans="1:16">
      <c r="A230" s="46" t="s">
        <v>15</v>
      </c>
      <c r="B230" s="49">
        <f t="shared" si="46"/>
        <v>57.759999999999913</v>
      </c>
      <c r="C230" s="49">
        <f t="shared" si="46"/>
        <v>8.4099999999999913</v>
      </c>
      <c r="D230" s="49">
        <f t="shared" si="46"/>
        <v>2.25</v>
      </c>
      <c r="E230" s="49">
        <f t="shared" si="46"/>
        <v>31.360000000000017</v>
      </c>
      <c r="F230" s="49">
        <f t="shared" si="46"/>
        <v>53.290000000000013</v>
      </c>
      <c r="G230" s="49">
        <f t="shared" si="46"/>
        <v>28.089999999999971</v>
      </c>
      <c r="H230" s="49">
        <f t="shared" si="46"/>
        <v>8.999999999999829E-2</v>
      </c>
      <c r="K230" s="44"/>
    </row>
    <row r="231" spans="1:16">
      <c r="A231" s="46" t="s">
        <v>16</v>
      </c>
      <c r="B231" s="49">
        <f t="shared" si="46"/>
        <v>127.6900000000001</v>
      </c>
      <c r="C231" s="49">
        <f t="shared" si="46"/>
        <v>10.890000000000029</v>
      </c>
      <c r="D231" s="49">
        <f t="shared" si="46"/>
        <v>1.4399999999999897</v>
      </c>
      <c r="E231" s="49">
        <f t="shared" si="46"/>
        <v>21.160000000000014</v>
      </c>
      <c r="F231" s="49">
        <f t="shared" si="46"/>
        <v>198.81000000000003</v>
      </c>
      <c r="G231" s="49">
        <f t="shared" si="46"/>
        <v>179.55999999999997</v>
      </c>
      <c r="H231" s="49">
        <f t="shared" si="46"/>
        <v>16</v>
      </c>
      <c r="K231" s="44"/>
    </row>
    <row r="232" spans="1:16">
      <c r="A232" s="46" t="s">
        <v>17</v>
      </c>
      <c r="B232" s="49">
        <f>B210^2</f>
        <v>65.610000000000028</v>
      </c>
      <c r="C232" s="49">
        <f t="shared" ref="C232:H236" si="47">C210^2</f>
        <v>56.25</v>
      </c>
      <c r="D232" s="49">
        <f t="shared" si="47"/>
        <v>198.81000000000003</v>
      </c>
      <c r="E232" s="49">
        <f t="shared" si="47"/>
        <v>51.840000000000039</v>
      </c>
      <c r="F232" s="49">
        <f t="shared" si="47"/>
        <v>123.21000000000004</v>
      </c>
      <c r="G232" s="49">
        <f t="shared" si="47"/>
        <v>49</v>
      </c>
      <c r="H232" s="49">
        <f t="shared" si="47"/>
        <v>60.840000000000011</v>
      </c>
      <c r="K232" s="44"/>
    </row>
    <row r="233" spans="1:16">
      <c r="A233" s="46" t="s">
        <v>18</v>
      </c>
      <c r="B233" s="49">
        <f t="shared" ref="B233:B235" si="48">B211^2</f>
        <v>59.290000000000042</v>
      </c>
      <c r="C233" s="49">
        <f t="shared" si="47"/>
        <v>7.2899999999999769</v>
      </c>
      <c r="D233" s="49">
        <f t="shared" si="47"/>
        <v>36</v>
      </c>
      <c r="E233" s="49">
        <f t="shared" si="47"/>
        <v>94.09000000000006</v>
      </c>
      <c r="F233" s="49">
        <f t="shared" si="47"/>
        <v>174.23999999999998</v>
      </c>
      <c r="G233" s="49">
        <f t="shared" si="47"/>
        <v>112.36000000000003</v>
      </c>
      <c r="H233" s="49">
        <f t="shared" si="47"/>
        <v>7.8400000000000043</v>
      </c>
      <c r="K233" s="44"/>
    </row>
    <row r="234" spans="1:16">
      <c r="A234" s="46" t="s">
        <v>19</v>
      </c>
      <c r="B234" s="49">
        <f t="shared" si="48"/>
        <v>153.76000000000005</v>
      </c>
      <c r="C234" s="49">
        <f t="shared" si="47"/>
        <v>0.36000000000000171</v>
      </c>
      <c r="D234" s="49">
        <f t="shared" si="47"/>
        <v>29.159999999999986</v>
      </c>
      <c r="E234" s="49">
        <f t="shared" si="47"/>
        <v>106.09000000000009</v>
      </c>
      <c r="F234" s="49">
        <f t="shared" si="47"/>
        <v>161.29</v>
      </c>
      <c r="G234" s="49">
        <f t="shared" si="47"/>
        <v>187.68999999999988</v>
      </c>
      <c r="H234" s="49">
        <f t="shared" si="47"/>
        <v>9</v>
      </c>
      <c r="K234" s="44"/>
    </row>
    <row r="235" spans="1:16">
      <c r="A235" s="46" t="s">
        <v>20</v>
      </c>
      <c r="B235" s="49">
        <f t="shared" si="48"/>
        <v>57.760000000000019</v>
      </c>
      <c r="C235" s="49">
        <f t="shared" si="47"/>
        <v>116.63999999999994</v>
      </c>
      <c r="D235" s="49">
        <f t="shared" si="47"/>
        <v>292.41000000000003</v>
      </c>
      <c r="E235" s="49">
        <f t="shared" si="47"/>
        <v>110.25000000000007</v>
      </c>
      <c r="F235" s="49">
        <f t="shared" si="47"/>
        <v>184.96000000000004</v>
      </c>
      <c r="G235" s="49">
        <f t="shared" si="47"/>
        <v>129.95999999999998</v>
      </c>
      <c r="H235" s="49">
        <f t="shared" si="47"/>
        <v>77.440000000000012</v>
      </c>
      <c r="K235" s="44"/>
    </row>
    <row r="236" spans="1:16">
      <c r="A236" s="46" t="s">
        <v>21</v>
      </c>
      <c r="B236" s="49">
        <f>B214^2</f>
        <v>110.25</v>
      </c>
      <c r="C236" s="49">
        <f t="shared" si="47"/>
        <v>134.56000000000003</v>
      </c>
      <c r="D236" s="49">
        <f t="shared" si="47"/>
        <v>316.83999999999992</v>
      </c>
      <c r="E236" s="49">
        <f t="shared" si="47"/>
        <v>6.7600000000000078</v>
      </c>
      <c r="F236" s="49">
        <f t="shared" si="47"/>
        <v>6.25</v>
      </c>
      <c r="G236" s="49">
        <f t="shared" si="47"/>
        <v>6.7600000000000078</v>
      </c>
      <c r="H236" s="49">
        <f t="shared" si="47"/>
        <v>12.96000000000001</v>
      </c>
      <c r="K236" s="44"/>
    </row>
    <row r="237" spans="1:16">
      <c r="A237" s="66" t="s">
        <v>172</v>
      </c>
      <c r="B237" s="49">
        <f>SQRT(SUM(B217:B236)/20)</f>
        <v>7.473854427268436</v>
      </c>
      <c r="C237" s="49" cm="1">
        <f t="array" ref="C237">SQRT(SUM(C217:C236/20))</f>
        <v>6.0247406583188292</v>
      </c>
      <c r="D237" s="49" cm="1">
        <f t="array" ref="D237">SQRT(SUM(D217:D236/20))</f>
        <v>8.7405663432068295</v>
      </c>
      <c r="E237" s="49" cm="1">
        <f t="array" ref="E237">SQRT(SUM(E217:E236/20))</f>
        <v>5.5504053905998632</v>
      </c>
      <c r="F237" s="49" cm="1">
        <f t="array" ref="F237">SQRT(SUM(F217:F236/20))</f>
        <v>9.3049717893177952</v>
      </c>
      <c r="G237" s="49" cm="1">
        <f t="array" ref="G237">SQRT(SUM(G217:G236/20))</f>
        <v>6.7991911283622546</v>
      </c>
      <c r="H237" s="49" cm="1">
        <f t="array" ref="H237">SQRT(SUM(H217:H236/20))</f>
        <v>4.0134772953138773</v>
      </c>
    </row>
    <row r="239" spans="1:16" s="55" customFormat="1">
      <c r="A239" s="53" t="s">
        <v>175</v>
      </c>
      <c r="B239" s="54"/>
    </row>
    <row r="240" spans="1:16">
      <c r="A240" s="46" t="s">
        <v>84</v>
      </c>
      <c r="B240" t="s">
        <v>32</v>
      </c>
      <c r="C240" t="s">
        <v>139</v>
      </c>
      <c r="D240" t="s">
        <v>140</v>
      </c>
      <c r="E240" t="s">
        <v>49</v>
      </c>
      <c r="F240" t="s">
        <v>50</v>
      </c>
      <c r="G240" t="s">
        <v>46</v>
      </c>
      <c r="H240" t="s">
        <v>37</v>
      </c>
      <c r="I240" t="s">
        <v>177</v>
      </c>
      <c r="K240" s="55" t="s">
        <v>178</v>
      </c>
      <c r="L240">
        <f>AVERAGE(I241:I260)</f>
        <v>4.6329451113908853</v>
      </c>
      <c r="M240" t="s">
        <v>181</v>
      </c>
      <c r="N240" t="s">
        <v>185</v>
      </c>
      <c r="O240" s="46" t="s">
        <v>84</v>
      </c>
      <c r="P240" t="s">
        <v>185</v>
      </c>
    </row>
    <row r="241" spans="1:16">
      <c r="A241" s="46" t="s">
        <v>0</v>
      </c>
      <c r="B241" s="49">
        <v>0.61547893991845037</v>
      </c>
      <c r="C241" s="49">
        <v>0.41495562079473997</v>
      </c>
      <c r="D241" s="49">
        <v>0.46907715575965198</v>
      </c>
      <c r="E241" s="49">
        <v>-1.8016702017723044E-2</v>
      </c>
      <c r="F241" s="49">
        <v>0.41913077097957879</v>
      </c>
      <c r="G241" s="49">
        <v>0.51476711478223403</v>
      </c>
      <c r="H241" s="49">
        <v>-0.27407654735816189</v>
      </c>
      <c r="I241" s="49">
        <f>SQRT((B241-B$261)^2+(C241-C$261)^2+(D241-D$261)^2+(E241-E$261)^2+(F241-F$261)^2+(G241-G$261)^2+(H241-H$261)^2)</f>
        <v>3.6314452798848991</v>
      </c>
      <c r="K241" s="55" t="s">
        <v>179</v>
      </c>
      <c r="L241" s="49">
        <f>_xlfn.STDEV.P(I241:I260)</f>
        <v>2.0840113928104147</v>
      </c>
      <c r="M241" s="49">
        <f t="shared" ref="M241:M260" si="49">I241/L$242</f>
        <v>0.41261885310568192</v>
      </c>
      <c r="N241">
        <f>_xlfn.RANK.AVG(M241,M$241:M$260)</f>
        <v>11</v>
      </c>
      <c r="O241" s="46" t="s">
        <v>3</v>
      </c>
      <c r="P241">
        <v>20</v>
      </c>
    </row>
    <row r="242" spans="1:16">
      <c r="A242" s="46" t="s">
        <v>87</v>
      </c>
      <c r="B242" s="49">
        <v>0.90983843292292743</v>
      </c>
      <c r="C242" s="49">
        <v>1.4440455603656943</v>
      </c>
      <c r="D242" s="49">
        <v>0.86950887409106203</v>
      </c>
      <c r="E242" s="49">
        <v>0.18016702017722788</v>
      </c>
      <c r="F242" s="49">
        <v>1.2681392557843669</v>
      </c>
      <c r="G242" s="49">
        <v>0.26473737331657815</v>
      </c>
      <c r="H242" s="49">
        <v>0.47340494543682415</v>
      </c>
      <c r="I242" s="49">
        <f t="shared" ref="I242:I260" si="50">SQRT((B242-B$261)^2+(C242-C$261)^2+(D242-D$261)^2+(E242-E$261)^2+(F242-F$261)^2+(G242-G$261)^2+(H242-H$261)^2)</f>
        <v>2.4861033423978562</v>
      </c>
      <c r="K242" s="55" t="s">
        <v>180</v>
      </c>
      <c r="L242" s="49">
        <f>L240+2*L241</f>
        <v>8.8009678970117147</v>
      </c>
      <c r="M242" s="49">
        <f t="shared" si="49"/>
        <v>0.2824806738861062</v>
      </c>
      <c r="N242">
        <f t="shared" ref="N242:N260" si="51">_xlfn.RANK.AVG(M242,M$241:M$260)</f>
        <v>17</v>
      </c>
      <c r="O242" s="46" t="s">
        <v>9</v>
      </c>
      <c r="P242">
        <v>19</v>
      </c>
    </row>
    <row r="243" spans="1:16">
      <c r="A243" s="46" t="s">
        <v>2</v>
      </c>
      <c r="B243" s="49">
        <v>-1.1908179489726558</v>
      </c>
      <c r="C243" s="49">
        <v>-0.23237514764505413</v>
      </c>
      <c r="D243" s="49">
        <v>-6.864543742824189E-2</v>
      </c>
      <c r="E243" s="49">
        <v>0.18016702017722788</v>
      </c>
      <c r="F243" s="49">
        <v>0.45137159951646999</v>
      </c>
      <c r="G243" s="49">
        <v>0.17649158221105207</v>
      </c>
      <c r="H243" s="49">
        <v>0.14949629855899668</v>
      </c>
      <c r="I243" s="49">
        <f t="shared" si="50"/>
        <v>4.7452882654402844</v>
      </c>
      <c r="L243" s="49"/>
      <c r="M243" s="49">
        <f t="shared" si="49"/>
        <v>0.53917799962109869</v>
      </c>
      <c r="N243">
        <f t="shared" si="51"/>
        <v>9</v>
      </c>
      <c r="O243" s="46" t="s">
        <v>13</v>
      </c>
      <c r="P243">
        <v>18</v>
      </c>
    </row>
    <row r="244" spans="1:16">
      <c r="A244" s="46" t="s">
        <v>3</v>
      </c>
      <c r="B244" s="49">
        <v>0.53519907818995749</v>
      </c>
      <c r="C244" s="49">
        <v>0.87970591608484938</v>
      </c>
      <c r="D244" s="49">
        <v>0.93815431151930306</v>
      </c>
      <c r="E244" s="49">
        <v>1.0629854190456443</v>
      </c>
      <c r="F244" s="49">
        <v>0.92423708472419996</v>
      </c>
      <c r="G244" s="49">
        <v>1.103072388819073</v>
      </c>
      <c r="H244" s="49">
        <v>1.1461382889523122</v>
      </c>
      <c r="I244" s="49">
        <f t="shared" si="50"/>
        <v>2.0422046818651798</v>
      </c>
      <c r="L244" s="49"/>
      <c r="M244" s="49">
        <f t="shared" si="49"/>
        <v>0.23204319181286764</v>
      </c>
      <c r="N244">
        <f t="shared" si="51"/>
        <v>20</v>
      </c>
      <c r="O244" s="46" t="s">
        <v>87</v>
      </c>
      <c r="P244">
        <v>17</v>
      </c>
    </row>
    <row r="245" spans="1:16">
      <c r="A245" s="46" t="s">
        <v>4</v>
      </c>
      <c r="B245" s="49">
        <v>-0.61547893991845137</v>
      </c>
      <c r="C245" s="49">
        <v>-1.145277513393482</v>
      </c>
      <c r="D245" s="49">
        <v>0.16017268733256387</v>
      </c>
      <c r="E245" s="49">
        <v>1.4413361614178231</v>
      </c>
      <c r="F245" s="49">
        <v>1.8377272266027695</v>
      </c>
      <c r="G245" s="49">
        <v>0.97070370216078439</v>
      </c>
      <c r="H245" s="49">
        <v>-0.52323704495649059</v>
      </c>
      <c r="I245" s="49">
        <f t="shared" si="50"/>
        <v>4.5835604193452477</v>
      </c>
      <c r="L245" s="49"/>
      <c r="M245" s="49">
        <f t="shared" si="49"/>
        <v>0.52080185645280586</v>
      </c>
      <c r="N245">
        <f t="shared" si="51"/>
        <v>10</v>
      </c>
      <c r="O245" s="46" t="s">
        <v>7</v>
      </c>
      <c r="P245">
        <v>16</v>
      </c>
    </row>
    <row r="246" spans="1:16">
      <c r="A246" s="46" t="s">
        <v>7</v>
      </c>
      <c r="B246" s="49">
        <v>0.16055972345698669</v>
      </c>
      <c r="C246" s="49">
        <v>1.0954828388981137</v>
      </c>
      <c r="D246" s="49">
        <v>1.4529950922311161</v>
      </c>
      <c r="E246" s="49">
        <v>0.81075159079752546</v>
      </c>
      <c r="F246" s="49">
        <v>0.59108185650966261</v>
      </c>
      <c r="G246" s="49">
        <v>0.6177205377386813</v>
      </c>
      <c r="H246" s="49">
        <v>0.5730691444761552</v>
      </c>
      <c r="I246" s="49">
        <f t="shared" si="50"/>
        <v>2.7117382834412722</v>
      </c>
      <c r="L246" s="49"/>
      <c r="M246" s="49">
        <f t="shared" si="49"/>
        <v>0.30811818826904452</v>
      </c>
      <c r="N246">
        <f t="shared" si="51"/>
        <v>16</v>
      </c>
      <c r="O246" s="46" t="s">
        <v>10</v>
      </c>
      <c r="P246">
        <v>15</v>
      </c>
    </row>
    <row r="247" spans="1:16">
      <c r="A247" s="46" t="s">
        <v>8</v>
      </c>
      <c r="B247" s="49">
        <v>-0.40139930864246814</v>
      </c>
      <c r="C247" s="49">
        <v>0.92950059058021772</v>
      </c>
      <c r="D247" s="49">
        <v>1.17841334251815</v>
      </c>
      <c r="E247" s="49">
        <v>0.36033404035445576</v>
      </c>
      <c r="F247" s="49">
        <v>1.4615842270057113</v>
      </c>
      <c r="G247" s="49">
        <v>0.58830527403683885</v>
      </c>
      <c r="H247" s="49">
        <v>0.24916049759832867</v>
      </c>
      <c r="I247" s="49">
        <f t="shared" si="50"/>
        <v>3.204436400396836</v>
      </c>
      <c r="L247" s="49"/>
      <c r="M247" s="49">
        <f t="shared" si="49"/>
        <v>0.36410045325638241</v>
      </c>
      <c r="N247">
        <f t="shared" si="51"/>
        <v>14</v>
      </c>
      <c r="O247" s="46" t="s">
        <v>8</v>
      </c>
      <c r="P247">
        <v>14</v>
      </c>
    </row>
    <row r="248" spans="1:16">
      <c r="A248" s="46" t="s">
        <v>9</v>
      </c>
      <c r="B248" s="49">
        <v>1.9400966584385961</v>
      </c>
      <c r="C248" s="49">
        <v>0.78011656709411037</v>
      </c>
      <c r="D248" s="49">
        <v>0.91527249904322383</v>
      </c>
      <c r="E248" s="49">
        <v>0.59455116658485152</v>
      </c>
      <c r="F248" s="49">
        <v>0.70929822781159535</v>
      </c>
      <c r="G248" s="49">
        <v>0.82362738365157462</v>
      </c>
      <c r="H248" s="49">
        <v>0.5730691444761552</v>
      </c>
      <c r="I248" s="49">
        <f t="shared" si="50"/>
        <v>2.1624945050394428</v>
      </c>
      <c r="L248" s="49"/>
      <c r="M248" s="49">
        <f t="shared" si="49"/>
        <v>0.24571098660338228</v>
      </c>
      <c r="N248">
        <f t="shared" si="51"/>
        <v>19</v>
      </c>
      <c r="O248" s="46" t="s">
        <v>12</v>
      </c>
      <c r="P248">
        <v>13</v>
      </c>
    </row>
    <row r="249" spans="1:16">
      <c r="A249" s="46" t="s">
        <v>10</v>
      </c>
      <c r="B249" s="49">
        <v>0.6288589168731995</v>
      </c>
      <c r="C249" s="49">
        <v>0.46475029529010947</v>
      </c>
      <c r="D249" s="49">
        <v>0.64069074933025627</v>
      </c>
      <c r="E249" s="49">
        <v>0.43240084842534671</v>
      </c>
      <c r="F249" s="49">
        <v>0.42987771382520923</v>
      </c>
      <c r="G249" s="49">
        <v>0.38239842812394548</v>
      </c>
      <c r="H249" s="49">
        <v>0.1744123483188299</v>
      </c>
      <c r="I249" s="49">
        <f>SQRT((B249-B$261)^2+(C249-C$261)^2+(D249-D$261)^2+(E249-E$261)^2+(F249-F$261)^2+(G249-G$261)^2+(H249-H$261)^2)</f>
        <v>3.1602317193188814</v>
      </c>
      <c r="L249" s="49"/>
      <c r="M249" s="49">
        <f t="shared" si="49"/>
        <v>0.35907774648194185</v>
      </c>
      <c r="N249">
        <f t="shared" si="51"/>
        <v>15</v>
      </c>
      <c r="O249" s="46" t="s">
        <v>11</v>
      </c>
      <c r="P249">
        <v>12</v>
      </c>
    </row>
    <row r="250" spans="1:16">
      <c r="A250" s="46" t="s">
        <v>11</v>
      </c>
      <c r="B250" s="49">
        <v>0.70913877860169339</v>
      </c>
      <c r="C250" s="49">
        <v>0.26557159730863378</v>
      </c>
      <c r="D250" s="49">
        <v>0.48051806199769243</v>
      </c>
      <c r="E250" s="49">
        <v>-0.16215031815950612</v>
      </c>
      <c r="F250" s="49">
        <v>-0.21493885691260461</v>
      </c>
      <c r="G250" s="49">
        <v>0.22061447776381457</v>
      </c>
      <c r="H250" s="49">
        <v>0.94680989087364831</v>
      </c>
      <c r="I250" s="49">
        <f t="shared" si="50"/>
        <v>3.5222725505372798</v>
      </c>
      <c r="L250" s="49"/>
      <c r="M250" s="49">
        <f t="shared" si="49"/>
        <v>0.40021422549822439</v>
      </c>
      <c r="N250">
        <f t="shared" si="51"/>
        <v>12</v>
      </c>
      <c r="O250" s="46" t="s">
        <v>0</v>
      </c>
      <c r="P250">
        <v>11</v>
      </c>
    </row>
    <row r="251" spans="1:16">
      <c r="A251" s="46" t="s">
        <v>12</v>
      </c>
      <c r="B251" s="49">
        <v>0.45491921646146372</v>
      </c>
      <c r="C251" s="49">
        <v>1.4440455603656943</v>
      </c>
      <c r="D251" s="49">
        <v>0.89239068656714293</v>
      </c>
      <c r="E251" s="49">
        <v>-0.37835074237217881</v>
      </c>
      <c r="F251" s="49">
        <v>2.1493885691260765E-2</v>
      </c>
      <c r="G251" s="49">
        <v>0.42652132367670798</v>
      </c>
      <c r="H251" s="49">
        <v>1.0464740899129794</v>
      </c>
      <c r="I251" s="49">
        <f t="shared" si="50"/>
        <v>3.2237065332003407</v>
      </c>
      <c r="L251" s="49"/>
      <c r="M251" s="49">
        <f t="shared" si="49"/>
        <v>0.36629000025041786</v>
      </c>
      <c r="N251">
        <f t="shared" si="51"/>
        <v>13</v>
      </c>
      <c r="O251" s="46" t="s">
        <v>4</v>
      </c>
      <c r="P251">
        <v>10</v>
      </c>
    </row>
    <row r="252" spans="1:16">
      <c r="A252" s="46" t="s">
        <v>13</v>
      </c>
      <c r="B252" s="49">
        <v>0.45491921646146372</v>
      </c>
      <c r="C252" s="49">
        <v>1.0954828388981137</v>
      </c>
      <c r="D252" s="49">
        <v>0.91527249904322383</v>
      </c>
      <c r="E252" s="49">
        <v>0.97290190895703033</v>
      </c>
      <c r="F252" s="49">
        <v>0.12896331414756307</v>
      </c>
      <c r="G252" s="49">
        <v>0.82362738365157462</v>
      </c>
      <c r="H252" s="49">
        <v>1.943451881266963</v>
      </c>
      <c r="I252" s="49">
        <f t="shared" si="50"/>
        <v>2.4153235519242813</v>
      </c>
      <c r="L252" s="49"/>
      <c r="M252" s="49">
        <f t="shared" si="49"/>
        <v>0.27443840043370477</v>
      </c>
      <c r="N252">
        <f t="shared" si="51"/>
        <v>18</v>
      </c>
      <c r="O252" s="46" t="s">
        <v>2</v>
      </c>
      <c r="P252">
        <v>9</v>
      </c>
    </row>
    <row r="253" spans="1:16">
      <c r="A253" s="46" t="s">
        <v>14</v>
      </c>
      <c r="B253" s="49">
        <v>-0.3612593777782217</v>
      </c>
      <c r="C253" s="49">
        <v>0.38175917113116148</v>
      </c>
      <c r="D253" s="49">
        <v>-0.14873178109452342</v>
      </c>
      <c r="E253" s="49">
        <v>-0.77471818676208071</v>
      </c>
      <c r="F253" s="49">
        <v>-0.35464911390579729</v>
      </c>
      <c r="G253" s="49">
        <v>-0.11766105480736735</v>
      </c>
      <c r="H253" s="49">
        <v>-0.373740746397493</v>
      </c>
      <c r="I253" s="49">
        <f t="shared" si="50"/>
        <v>5.0564022448295614</v>
      </c>
      <c r="L253" s="49"/>
      <c r="M253" s="49">
        <f t="shared" si="49"/>
        <v>0.57452797283198986</v>
      </c>
      <c r="N253">
        <f t="shared" si="51"/>
        <v>7</v>
      </c>
      <c r="O253" s="46" t="s">
        <v>15</v>
      </c>
      <c r="P253">
        <v>8</v>
      </c>
    </row>
    <row r="254" spans="1:16">
      <c r="A254" s="46" t="s">
        <v>15</v>
      </c>
      <c r="B254" s="49">
        <v>1.0168782485609185</v>
      </c>
      <c r="C254" s="49">
        <v>0.4813485201218981</v>
      </c>
      <c r="D254" s="49">
        <v>0.17161359357060432</v>
      </c>
      <c r="E254" s="49">
        <v>-1.0089353129924765</v>
      </c>
      <c r="F254" s="49">
        <v>-0.7845268277310069</v>
      </c>
      <c r="G254" s="49">
        <v>-0.77950448809881112</v>
      </c>
      <c r="H254" s="49">
        <v>7.4748149279497897E-2</v>
      </c>
      <c r="I254" s="49">
        <f t="shared" si="50"/>
        <v>4.8308645528486114</v>
      </c>
      <c r="L254" s="49"/>
      <c r="M254" s="49">
        <f t="shared" si="49"/>
        <v>0.54890150826352702</v>
      </c>
      <c r="N254">
        <f t="shared" si="51"/>
        <v>8</v>
      </c>
      <c r="O254" s="46" t="s">
        <v>14</v>
      </c>
      <c r="P254">
        <v>7</v>
      </c>
    </row>
    <row r="255" spans="1:16">
      <c r="A255" s="46" t="s">
        <v>16</v>
      </c>
      <c r="B255" s="49">
        <v>-1.5119373958866307</v>
      </c>
      <c r="C255" s="49">
        <v>0.54774141944905741</v>
      </c>
      <c r="D255" s="49">
        <v>-0.13729087485648298</v>
      </c>
      <c r="E255" s="49">
        <v>-0.82876829281524855</v>
      </c>
      <c r="F255" s="49">
        <v>-1.5153189412338626</v>
      </c>
      <c r="G255" s="49">
        <v>-1.97082266802341</v>
      </c>
      <c r="H255" s="49">
        <v>-0.99664199039331469</v>
      </c>
      <c r="I255" s="49">
        <f t="shared" si="50"/>
        <v>7.0525304192033689</v>
      </c>
      <c r="L255" s="49"/>
      <c r="M255" s="49">
        <f t="shared" si="49"/>
        <v>0.80133577371620557</v>
      </c>
      <c r="N255">
        <f t="shared" si="51"/>
        <v>5</v>
      </c>
      <c r="O255" s="46" t="s">
        <v>21</v>
      </c>
      <c r="P255">
        <v>6</v>
      </c>
    </row>
    <row r="256" spans="1:16">
      <c r="A256" s="46" t="s">
        <v>17</v>
      </c>
      <c r="B256" s="49">
        <v>-1.0837781333346641</v>
      </c>
      <c r="C256" s="49">
        <v>-1.2448668623842198</v>
      </c>
      <c r="D256" s="49">
        <v>-1.6131677795636807</v>
      </c>
      <c r="E256" s="49">
        <v>-1.2972025452760414</v>
      </c>
      <c r="F256" s="49">
        <v>-1.1929106558649556</v>
      </c>
      <c r="G256" s="49">
        <v>-1.0295342295644681</v>
      </c>
      <c r="H256" s="49">
        <v>-1.9434518812669639</v>
      </c>
      <c r="I256" s="49">
        <f t="shared" si="50"/>
        <v>7.8813587407626704</v>
      </c>
      <c r="L256" s="49"/>
      <c r="M256" s="49">
        <f t="shared" si="49"/>
        <v>0.8955104521445546</v>
      </c>
      <c r="N256">
        <f t="shared" si="51"/>
        <v>2</v>
      </c>
      <c r="O256" s="46" t="s">
        <v>16</v>
      </c>
      <c r="P256">
        <v>5</v>
      </c>
    </row>
    <row r="257" spans="1:28">
      <c r="A257" s="46" t="s">
        <v>18</v>
      </c>
      <c r="B257" s="49">
        <v>-1.0302582255156687</v>
      </c>
      <c r="C257" s="49">
        <v>-0.44815207045831845</v>
      </c>
      <c r="D257" s="49">
        <v>-0.68645437428241729</v>
      </c>
      <c r="E257" s="49">
        <v>-1.747620095719111</v>
      </c>
      <c r="F257" s="49">
        <v>-1.4185964556231903</v>
      </c>
      <c r="G257" s="49">
        <v>-1.5590089761976234</v>
      </c>
      <c r="H257" s="49">
        <v>-0.6976493932753205</v>
      </c>
      <c r="I257" s="49">
        <f t="shared" si="50"/>
        <v>7.1983222420372703</v>
      </c>
      <c r="L257" s="49"/>
      <c r="M257" s="49">
        <f t="shared" si="49"/>
        <v>0.81790120430747082</v>
      </c>
      <c r="N257">
        <f t="shared" si="51"/>
        <v>4</v>
      </c>
      <c r="O257" s="46" t="s">
        <v>18</v>
      </c>
      <c r="P257">
        <v>4</v>
      </c>
    </row>
    <row r="258" spans="1:28">
      <c r="A258" s="46" t="s">
        <v>19</v>
      </c>
      <c r="B258" s="49">
        <v>-1.6591171423888686</v>
      </c>
      <c r="C258" s="49">
        <v>-9.9589348990737819E-2</v>
      </c>
      <c r="D258" s="49">
        <v>-0.61780893685417537</v>
      </c>
      <c r="E258" s="49">
        <v>-1.8557203078254481</v>
      </c>
      <c r="F258" s="49">
        <v>-1.3648617413950392</v>
      </c>
      <c r="G258" s="49">
        <v>-2.0149455635761724</v>
      </c>
      <c r="H258" s="49">
        <v>-0.74748149279498599</v>
      </c>
      <c r="I258" s="49">
        <f t="shared" si="50"/>
        <v>7.5970845644066802</v>
      </c>
      <c r="L258" s="49"/>
      <c r="M258" s="49">
        <f t="shared" si="49"/>
        <v>0.86321012112613182</v>
      </c>
      <c r="N258">
        <f t="shared" si="51"/>
        <v>3</v>
      </c>
      <c r="O258" s="46" t="s">
        <v>19</v>
      </c>
      <c r="P258">
        <v>3</v>
      </c>
    </row>
    <row r="259" spans="1:28">
      <c r="A259" s="46" t="s">
        <v>20</v>
      </c>
      <c r="B259" s="49">
        <v>-1.0168782485609196</v>
      </c>
      <c r="C259" s="49">
        <v>-1.792608281833276</v>
      </c>
      <c r="D259" s="49">
        <v>-1.9563949667048894</v>
      </c>
      <c r="E259" s="49">
        <v>-1.8917537118608936</v>
      </c>
      <c r="F259" s="49">
        <v>-1.4615842270057113</v>
      </c>
      <c r="G259" s="49">
        <v>-1.6766700310049907</v>
      </c>
      <c r="H259" s="49">
        <v>-2.1926123788652925</v>
      </c>
      <c r="I259" s="49">
        <f t="shared" si="50"/>
        <v>8.8132008331023393</v>
      </c>
      <c r="L259" s="49"/>
      <c r="M259" s="49">
        <f t="shared" si="49"/>
        <v>1.001389953495317</v>
      </c>
      <c r="N259">
        <f t="shared" si="51"/>
        <v>1</v>
      </c>
      <c r="O259" s="46" t="s">
        <v>17</v>
      </c>
      <c r="P259">
        <v>2</v>
      </c>
    </row>
    <row r="260" spans="1:28">
      <c r="A260" s="46" t="s">
        <v>21</v>
      </c>
      <c r="B260" s="49">
        <v>1.4048975802486385</v>
      </c>
      <c r="C260" s="49">
        <v>-1.9253940804875935</v>
      </c>
      <c r="D260" s="49">
        <v>-2.0364813103711707</v>
      </c>
      <c r="E260" s="49">
        <v>-0.46843425246079279</v>
      </c>
      <c r="F260" s="49">
        <v>0.26867357114075574</v>
      </c>
      <c r="G260" s="49">
        <v>-0.38239842812394548</v>
      </c>
      <c r="H260" s="49">
        <v>-0.89697779135398359</v>
      </c>
      <c r="I260" s="49">
        <f t="shared" si="50"/>
        <v>6.3403330978353827</v>
      </c>
      <c r="L260" s="49"/>
      <c r="M260" s="49">
        <f t="shared" si="49"/>
        <v>0.72041316046479187</v>
      </c>
      <c r="N260">
        <f t="shared" si="51"/>
        <v>6</v>
      </c>
      <c r="O260" s="46" t="s">
        <v>20</v>
      </c>
      <c r="P260">
        <v>1</v>
      </c>
    </row>
    <row r="261" spans="1:28">
      <c r="A261" s="46" t="s">
        <v>176</v>
      </c>
      <c r="B261" s="49">
        <f>MAX(B241:B260)</f>
        <v>1.9400966584385961</v>
      </c>
      <c r="C261" s="49">
        <f t="shared" ref="C261:H261" si="52">MAX(C241:C260)</f>
        <v>1.4440455603656943</v>
      </c>
      <c r="D261" s="49">
        <f t="shared" si="52"/>
        <v>1.4529950922311161</v>
      </c>
      <c r="E261" s="49">
        <f t="shared" si="52"/>
        <v>1.4413361614178231</v>
      </c>
      <c r="F261" s="49">
        <f t="shared" si="52"/>
        <v>1.8377272266027695</v>
      </c>
      <c r="G261" s="49">
        <f t="shared" si="52"/>
        <v>1.103072388819073</v>
      </c>
      <c r="H261" s="49">
        <f t="shared" si="52"/>
        <v>1.943451881266963</v>
      </c>
    </row>
    <row r="263" spans="1:28" s="55" customFormat="1">
      <c r="A263" s="53" t="s">
        <v>182</v>
      </c>
      <c r="B263" s="54"/>
    </row>
    <row r="264" spans="1:28">
      <c r="A264" s="46" t="s">
        <v>84</v>
      </c>
      <c r="B264" s="46" t="s">
        <v>0</v>
      </c>
      <c r="C264" s="46" t="s">
        <v>87</v>
      </c>
      <c r="D264" s="46" t="s">
        <v>2</v>
      </c>
      <c r="E264" s="46" t="s">
        <v>3</v>
      </c>
      <c r="F264" s="46" t="s">
        <v>4</v>
      </c>
      <c r="G264" s="46" t="s">
        <v>7</v>
      </c>
      <c r="H264" s="46" t="s">
        <v>8</v>
      </c>
      <c r="I264" s="46" t="s">
        <v>9</v>
      </c>
      <c r="J264" s="46" t="s">
        <v>10</v>
      </c>
      <c r="K264" s="46" t="s">
        <v>11</v>
      </c>
      <c r="L264" s="46" t="s">
        <v>12</v>
      </c>
      <c r="M264" s="46" t="s">
        <v>13</v>
      </c>
      <c r="N264" s="46" t="s">
        <v>14</v>
      </c>
      <c r="O264" s="46" t="s">
        <v>15</v>
      </c>
      <c r="P264" s="46" t="s">
        <v>16</v>
      </c>
      <c r="Q264" s="46" t="s">
        <v>17</v>
      </c>
      <c r="R264" s="46" t="s">
        <v>18</v>
      </c>
      <c r="S264" s="46" t="s">
        <v>19</v>
      </c>
      <c r="T264" s="46" t="s">
        <v>20</v>
      </c>
      <c r="U264" s="46" t="s">
        <v>21</v>
      </c>
      <c r="V264" s="46" t="s">
        <v>183</v>
      </c>
      <c r="X264" s="46" t="s">
        <v>84</v>
      </c>
      <c r="Y264" s="46" t="s">
        <v>183</v>
      </c>
      <c r="Z264" s="46"/>
      <c r="AA264" s="46"/>
      <c r="AB264" s="47"/>
    </row>
    <row r="265" spans="1:28">
      <c r="A265" s="46" t="s">
        <v>0</v>
      </c>
      <c r="B265" s="49">
        <f>SQRT(($B$241-B241)^2+($C$241-C241)^2+(D$241-D241)^2+(E$241-E241)^2+(F$241-F241)^2+(G$241-G241)^2+(H$241-H241)^2)</f>
        <v>0</v>
      </c>
      <c r="C265" s="49">
        <f>SQRT((B$242-B241)^2+(C$242-C241)^2+(D$242-D241)^2+(E$242-E241)^2+(F$242-F241)^2+(G$242-G241)^2+(H$242-H241)^2)</f>
        <v>1.6393153523943524</v>
      </c>
      <c r="D265" s="49">
        <f>SQRT((B$243-B241)^2+(C$243-C241)^2+(D$243-D241)^2+(E$243-E241)^2+(F$243-F241)^2+(G$243-G241)^2+(H$243-H241)^2)</f>
        <v>2.0748618537902046</v>
      </c>
      <c r="E265" s="49">
        <f>SQRT((B$244-B241)^2+(C$244-C241)^2+(D$244-D241)^2+(E$244-E241)^2+(F$244-F241)^2+(G$244-G241)^2+(H$244-H241)^2)</f>
        <v>2.056521899200463</v>
      </c>
      <c r="F265" s="49">
        <f>SQRT((B$245-B241)^2+(C$245-C241)^2+(D$245-D241)^2+(E$245-E241)^2+(F$245-F241)^2+(G$245-G241)^2+(H$245-H241)^2)</f>
        <v>2.9081080644920392</v>
      </c>
      <c r="G265" s="49">
        <f>SQRT((B$246-B241)^2+(C$246-C241)^2+(D$246-D241)^2+(E$246-E241)^2+(F$246-F241)^2+(G$246-G241)^2+(H$246-H241)^2)</f>
        <v>1.7558025467798084</v>
      </c>
      <c r="H265" s="49">
        <f>SQRT((B$247-B241)^2+(C$247-C241)^2+(D$247-D241)^2+(E$247-E241)^2+(F$247-F241)^2+(G$247-G241)^2+(H$247-H241)^2)</f>
        <v>1.8196150918501168</v>
      </c>
      <c r="I265" s="49">
        <f>SQRT((B$248-B241)^2+(C$248-C241)^2+(D$248-D241)^2+(E$248-E241)^2+(F$248-F241)^2+(G$248-G241)^2+(H$248-H241)^2)</f>
        <v>1.8329025988349352</v>
      </c>
      <c r="J265" s="51">
        <f>SQRT((B$249-B241)^2+(C$249-C241)^2+(D$249-D241)^2+(E$249-E241)^2+(F$249-F241)^2+(G$249-G241)^2+(H$249-H241)^2)</f>
        <v>0.67362080146807846</v>
      </c>
      <c r="K265" s="49">
        <f>SQRT((B$250-B241)^2+(C$250-C241)^2+(D$250-D241)^2+(E$250-E241)^2+(F$250-F241)^2+(G$250-G241)^2+(H$250-H241)^2)</f>
        <v>1.4251760969898775</v>
      </c>
      <c r="L265" s="49">
        <f>SQRT((B$251-B241)^2+(C$251-C241)^2+(D$251-D241)^2+(E$251-E241)^2+(F$251-F241)^2+(G$251-G241)^2+(H$251-H241)^2)</f>
        <v>1.8175799548609846</v>
      </c>
      <c r="M265" s="50">
        <f>SQRT((B$252-B241)^2+(C$252-C241)^2+(D$252-D241)^2+(E$252-E241)^2+(F$252-F241)^2+(G$252-G241)^2+(H$252-H241)^2)</f>
        <v>2.6013325138803758</v>
      </c>
      <c r="N265" s="49">
        <f>SQRT((B$253-B241)^2+(C$253-C241)^2+(D$253-D241)^2+(E$253-E241)^2+(F$253-F241)^2+(G$253-G241)^2+(H$253-H241)^2)</f>
        <v>1.7082266879756398</v>
      </c>
      <c r="O265" s="50">
        <f>SQRT((B$254-B241)^2+(C$254-C241)^2+(D$254-D241)^2+(E$254-E241)^2+(F$254-F241)^2+(G$254-G241)^2+(H$254-H241)^2)</f>
        <v>2.1169655057200174</v>
      </c>
      <c r="P265" s="49">
        <f>SQRT((B$255-B241)^2+(C$255-C241)^2+(D$255-D241)^2+(E$255-E241)^2+(F$255-F241)^2+(G$255-G241)^2+(H$255-H241)^2)</f>
        <v>4.0013604863405714</v>
      </c>
      <c r="Q265" s="49">
        <f>SQRT((B$256-B241)^2+(C$256-C241)^2+(D$256-D241)^2+(E$256-E241)^2+(F$256-F241)^2+(G$256-G241)^2+(H$256-H241)^2)</f>
        <v>4.402829076675177</v>
      </c>
      <c r="R265" s="49">
        <f>SQRT((B$257-B241)^2+(C$257-C241)^2+(D$257-D241)^2+(E$257-E241)^2+(F$257-F241)^2+(G$257-G241)^2+(H$257-H241)^2)</f>
        <v>3.9544139024046538</v>
      </c>
      <c r="S265" s="50">
        <f>SQRT((B$258-B241)^2+(C$258-C241)^2+(D$258-D241)^2+(E$258-E241)^2+(F$258-F241)^2+(G$258-G241)^2+(H$258-H241)^2)</f>
        <v>4.4500794988758816</v>
      </c>
      <c r="T265" s="49">
        <f>SQRT((B$259-B241)^2+(C$259-C241)^2+(D$259-D241)^2+(E$259-E241)^2+(F$259-F241)^2+(G$259-G241)^2+(H$259-H241)^2)</f>
        <v>5.3807061969814711</v>
      </c>
      <c r="U265" s="49">
        <f>SQRT((B$260-B241)^2+(C$260-C241)^2+(D$260-D241)^2+(E$260-E241)^2+(F$260-F241)^2+(G$260-G241)^2+(H$260-H241)^2)</f>
        <v>3.7143864972661453</v>
      </c>
      <c r="V265" s="49" cm="1">
        <f t="array" ref="V265">MIN(IF(B265:U265&lt;&gt;0,B265:U265))</f>
        <v>0.67362080146807846</v>
      </c>
      <c r="X265" s="46" t="s">
        <v>0</v>
      </c>
      <c r="Y265" s="49">
        <v>0.67362080146807801</v>
      </c>
      <c r="AB265" s="47"/>
    </row>
    <row r="266" spans="1:28">
      <c r="A266" s="46" t="s">
        <v>87</v>
      </c>
      <c r="B266" s="49">
        <f>SQRT((B$241-B242)^2+(C$241-C242)^2+(D$241-D242)^2+(E$241-E242)^2+(F$241-F242)^2+(G$241-G242)^2+(H$241-H242)^2)</f>
        <v>1.6393153523943524</v>
      </c>
      <c r="C266" s="49">
        <f t="shared" ref="C266:C284" si="53">SQRT((B$242-B242)^2+(C$242-C242)^2+(D$242-D242)^2+(E$242-E242)^2+(F$242-F242)^2+(G$242-G242)^2+(H$242-H242)^2)</f>
        <v>0</v>
      </c>
      <c r="D266" s="49">
        <f t="shared" ref="D266:D284" si="54">SQRT((B$243-B242)^2+(C$243-C242)^2+(D$243-D242)^2+(E$243-E242)^2+(F$243-F242)^2+(G$243-G242)^2+(H$243-H242)^2)</f>
        <v>2.9804514209702497</v>
      </c>
      <c r="E266" s="49">
        <f t="shared" ref="E266:E284" si="55">SQRT((B$244-B242)^2+(C$244-C242)^2+(D$244-D242)^2+(E$244-E242)^2+(F$244-F242)^2+(G$244-G242)^2+(H$244-H242)^2)</f>
        <v>1.5863665574630184</v>
      </c>
      <c r="F266" s="49">
        <f t="shared" ref="F266:F284" si="56">SQRT((B$245-B242)^2+(C$245-C242)^2+(D$245-D242)^2+(E$245-E242)^2+(F$245-F242)^2+(G$245-G242)^2+(H$245-H242)^2)</f>
        <v>3.5973610699836569</v>
      </c>
      <c r="G266" s="49">
        <f t="shared" ref="G266:G284" si="57">SQRT((B$246-B242)^2+(C$246-C242)^2+(D$246-D242)^2+(E$246-E242)^2+(F$246-F242)^2+(G$246-G242)^2+(H$246-H242)^2)</f>
        <v>1.4191350927828608</v>
      </c>
      <c r="H266" s="49">
        <f t="shared" ref="H266:H284" si="58">SQRT((B$247-B242)^2+(C$247-C242)^2+(D$247-D242)^2+(E$247-E242)^2+(F$247-F242)^2+(G$247-G242)^2+(H$247-H242)^2)</f>
        <v>1.51802034975311</v>
      </c>
      <c r="I266" s="49">
        <f t="shared" ref="I266:I284" si="59">SQRT((B$248-B242)^2+(C$248-C242)^2+(D$248-D242)^2+(E$248-E242)^2+(F$248-F242)^2+(G$248-G242)^2+(H$248-H242)^2)</f>
        <v>1.5200778073112304</v>
      </c>
      <c r="J266" s="51">
        <f t="shared" ref="J266:J284" si="60">SQRT((B$249-B242)^2+(C$249-C242)^2+(D$249-D242)^2+(E$249-E242)^2+(F$249-F242)^2+(G$249-G242)^2+(H$249-H242)^2)</f>
        <v>1.3999540894787383</v>
      </c>
      <c r="K266" s="49">
        <f t="shared" ref="K266:K284" si="61">SQRT((B$250-B242)^2+(C$250-C242)^2+(D$250-D242)^2+(E$250-E242)^2+(F$250-F242)^2+(G$250-G242)^2+(H$250-H242)^2)</f>
        <v>2.0305555903505561</v>
      </c>
      <c r="L266" s="49">
        <f t="shared" ref="L266:L284" si="62">SQRT((B$251-B242)^2+(C$251-C242)^2+(D$251-D242)^2+(E$251-E242)^2+(F$251-F242)^2+(G$251-G242)^2+(H$251-H242)^2)</f>
        <v>1.5582439255940121</v>
      </c>
      <c r="M266" s="50">
        <f t="shared" ref="M266:M284" si="63">SQRT((B$252-B242)^2+(C$252-C242)^2+(D$252-D242)^2+(E$252-E242)^2+(F$252-F242)^2+(G$252-G242)^2+(H$252-H242)^2)</f>
        <v>2.1748766035709286</v>
      </c>
      <c r="N266" s="49">
        <f t="shared" ref="N266:N284" si="64">SQRT((B$253-B242)^2+(C$253-C242)^2+(D$253-D242)^2+(E$253-E242)^2+(F$253-F242)^2+(G$253-G242)^2+(H$253-H242)^2)</f>
        <v>2.861833028192466</v>
      </c>
      <c r="O266" s="50">
        <f t="shared" ref="O266:O284" si="65">SQRT((B$254-B242)^2+(C$254-C242)^2+(D$254-D242)^2+(E$254-E242)^2+(F$254-F242)^2+(G$254-G242)^2+(H$254-H242)^2)</f>
        <v>2.8813315760976534</v>
      </c>
      <c r="P266" s="49">
        <f t="shared" ref="P266:P284" si="66">SQRT((B$255-B242)^2+(C$255-C242)^2+(D$255-D242)^2+(E$255-E242)^2+(F$255-F242)^2+(G$255-G242)^2+(H$255-H242)^2)</f>
        <v>4.8586378445858882</v>
      </c>
      <c r="Q266" s="49">
        <f t="shared" ref="Q266:Q284" si="67">SQRT((B$256-B242)^2+(C$256-C242)^2+(D$256-D242)^2+(E$256-E242)^2+(F$256-F242)^2+(G$256-G242)^2+(H$256-H242)^2)</f>
        <v>5.7553595717768609</v>
      </c>
      <c r="R266" s="49">
        <f t="shared" ref="R266:R284" si="68">SQRT((B$257-B242)^2+(C$257-C242)^2+(D$257-D242)^2+(E$257-E242)^2+(F$257-F242)^2+(G$257-G242)^2+(H$257-H242)^2)</f>
        <v>5.0396170000527896</v>
      </c>
      <c r="S266" s="50">
        <f t="shared" ref="S266:S284" si="69">SQRT((B$258-B242)^2+(C$258-C242)^2+(D$258-D242)^2+(E$258-E242)^2+(F$258-F242)^2+(G$258-G242)^2+(H$258-H242)^2)</f>
        <v>5.3814036462016368</v>
      </c>
      <c r="T266" s="49">
        <f t="shared" ref="T266:T284" si="70">SQRT((B$259-B242)^2+(C$259-C242)^2+(D$259-D242)^2+(E$259-E242)^2+(F$259-F242)^2+(G$259-G242)^2+(H$259-H242)^2)</f>
        <v>6.6928958364622266</v>
      </c>
      <c r="U266" s="49">
        <f t="shared" ref="U266:U284" si="71">SQRT((B$260-B242)^2+(C$260-C242)^2+(D$260-D242)^2+(E$260-E242)^2+(F$260-F242)^2+(G$260-G242)^2+(H$260-H242)^2)</f>
        <v>4.8743548148799496</v>
      </c>
      <c r="V266" s="49" cm="1">
        <f t="array" ref="V266">MIN(IF(B266:U266&lt;&gt;0,B266:U266))</f>
        <v>1.3999540894787383</v>
      </c>
      <c r="X266" s="46" t="s">
        <v>10</v>
      </c>
      <c r="Y266" s="49">
        <v>0.67362080146807846</v>
      </c>
      <c r="AB266" s="47"/>
    </row>
    <row r="267" spans="1:28">
      <c r="A267" s="46" t="s">
        <v>2</v>
      </c>
      <c r="B267" s="49">
        <f>SQRT((B$241-B243)^2+(C$241-C243)^2+(D$241-D243)^2+(E$241-E243)^2+(F$241-F243)^2+(G$241-G243)^2+(H$241-H243)^2)</f>
        <v>2.0748618537902046</v>
      </c>
      <c r="C267" s="49">
        <f t="shared" si="53"/>
        <v>2.9804514209702497</v>
      </c>
      <c r="D267" s="49">
        <f t="shared" si="54"/>
        <v>0</v>
      </c>
      <c r="E267" s="49">
        <f t="shared" si="55"/>
        <v>2.843294241810649</v>
      </c>
      <c r="F267" s="49">
        <f t="shared" si="56"/>
        <v>2.4109408971336408</v>
      </c>
      <c r="G267" s="49">
        <f t="shared" si="57"/>
        <v>2.5876767864394692</v>
      </c>
      <c r="H267" s="49">
        <f t="shared" si="58"/>
        <v>2.1819270837180285</v>
      </c>
      <c r="I267" s="49">
        <f t="shared" si="59"/>
        <v>3.5541946098531199</v>
      </c>
      <c r="J267" s="50">
        <f t="shared" si="60"/>
        <v>2.0993970408408864</v>
      </c>
      <c r="K267" s="49">
        <f t="shared" si="61"/>
        <v>2.3147729166034976</v>
      </c>
      <c r="L267" s="49">
        <f t="shared" si="62"/>
        <v>2.7939664653121552</v>
      </c>
      <c r="M267" s="50">
        <f t="shared" si="63"/>
        <v>3.1319625221937546</v>
      </c>
      <c r="N267" s="52">
        <f t="shared" si="64"/>
        <v>1.7301792204738986</v>
      </c>
      <c r="O267" s="50">
        <f t="shared" si="65"/>
        <v>3.0499136758279652</v>
      </c>
      <c r="P267" s="49">
        <f t="shared" si="66"/>
        <v>3.3951178726317202</v>
      </c>
      <c r="Q267" s="49">
        <f t="shared" si="67"/>
        <v>3.7607660882190248</v>
      </c>
      <c r="R267" s="49">
        <f t="shared" si="68"/>
        <v>3.3759130158464137</v>
      </c>
      <c r="S267" s="50">
        <f t="shared" si="69"/>
        <v>3.6863292629740849</v>
      </c>
      <c r="T267" s="49">
        <f t="shared" si="70"/>
        <v>4.7854066988418564</v>
      </c>
      <c r="U267" s="49">
        <f t="shared" si="71"/>
        <v>3.9163705753409523</v>
      </c>
      <c r="V267" s="49" cm="1">
        <f t="array" ref="V267">MIN(IF(B267:U267&lt;&gt;0,B267:U267))</f>
        <v>1.7301792204738986</v>
      </c>
      <c r="X267" s="46" t="s">
        <v>18</v>
      </c>
      <c r="Y267" s="49">
        <v>0.86406376467890744</v>
      </c>
      <c r="AB267" s="47"/>
    </row>
    <row r="268" spans="1:28">
      <c r="A268" s="46" t="s">
        <v>3</v>
      </c>
      <c r="B268" s="49">
        <f t="shared" ref="B268:B284" si="72">SQRT((B$241-B244)^2+(C$241-C244)^2+(D$241-D244)^2+(E$241-E244)^2+(F$241-F244)^2+(G$241-G244)^2+(H$241-H244)^2)</f>
        <v>2.056521899200463</v>
      </c>
      <c r="C268" s="49">
        <f t="shared" si="53"/>
        <v>1.5863665574630184</v>
      </c>
      <c r="D268" s="49">
        <f t="shared" si="54"/>
        <v>2.843294241810649</v>
      </c>
      <c r="E268" s="49">
        <f t="shared" si="55"/>
        <v>0</v>
      </c>
      <c r="F268" s="49">
        <f t="shared" si="56"/>
        <v>3.1323828305023049</v>
      </c>
      <c r="G268" s="52">
        <f t="shared" si="57"/>
        <v>1.0911298409972237</v>
      </c>
      <c r="H268" s="49">
        <f t="shared" si="58"/>
        <v>1.6701603820411792</v>
      </c>
      <c r="I268" s="49">
        <f t="shared" si="59"/>
        <v>1.6298177637748847</v>
      </c>
      <c r="J268" s="50">
        <f t="shared" si="60"/>
        <v>1.5411344046077147</v>
      </c>
      <c r="K268" s="49">
        <f t="shared" si="61"/>
        <v>2.0576661763755997</v>
      </c>
      <c r="L268" s="49">
        <f t="shared" si="62"/>
        <v>1.9201739269142388</v>
      </c>
      <c r="M268" s="50">
        <f t="shared" si="63"/>
        <v>1.1865504617671854</v>
      </c>
      <c r="N268" s="49">
        <f t="shared" si="64"/>
        <v>3.3235277908772023</v>
      </c>
      <c r="O268" s="50">
        <f t="shared" si="65"/>
        <v>3.5892882675557813</v>
      </c>
      <c r="P268" s="49">
        <f t="shared" si="66"/>
        <v>5.3877689608576542</v>
      </c>
      <c r="Q268" s="49">
        <f t="shared" si="67"/>
        <v>6.1473995563974393</v>
      </c>
      <c r="R268" s="49">
        <f t="shared" si="68"/>
        <v>5.5432679308004227</v>
      </c>
      <c r="S268" s="50">
        <f t="shared" si="69"/>
        <v>5.9381573663450569</v>
      </c>
      <c r="T268" s="49">
        <f t="shared" si="70"/>
        <v>7.1571973097235446</v>
      </c>
      <c r="U268" s="49">
        <f t="shared" si="71"/>
        <v>5.1603657965775875</v>
      </c>
      <c r="V268" s="49" cm="1">
        <f t="array" ref="V268">MIN(IF(B268:U268&lt;&gt;0,B268:U268))</f>
        <v>1.0911298409972237</v>
      </c>
      <c r="X268" s="46" t="s">
        <v>19</v>
      </c>
      <c r="Y268" s="49">
        <v>0.86406376467890744</v>
      </c>
    </row>
    <row r="269" spans="1:28">
      <c r="A269" s="46" t="s">
        <v>4</v>
      </c>
      <c r="B269" s="49">
        <f t="shared" si="72"/>
        <v>2.9081080644920392</v>
      </c>
      <c r="C269" s="49">
        <f t="shared" si="53"/>
        <v>3.5973610699836569</v>
      </c>
      <c r="D269" s="52">
        <f t="shared" si="54"/>
        <v>2.4109408971336408</v>
      </c>
      <c r="E269" s="49">
        <f t="shared" si="55"/>
        <v>3.1323828305023049</v>
      </c>
      <c r="F269" s="49">
        <f t="shared" si="56"/>
        <v>0</v>
      </c>
      <c r="G269" s="49">
        <f t="shared" si="57"/>
        <v>3.2515963293274739</v>
      </c>
      <c r="H269" s="49">
        <f t="shared" si="58"/>
        <v>2.7276773937902723</v>
      </c>
      <c r="I269" s="49">
        <f t="shared" si="59"/>
        <v>3.7446228470944565</v>
      </c>
      <c r="J269" s="50">
        <f t="shared" si="60"/>
        <v>2.8643100988394337</v>
      </c>
      <c r="K269" s="49">
        <f t="shared" si="61"/>
        <v>3.6545871519444537</v>
      </c>
      <c r="L269" s="49">
        <f t="shared" si="62"/>
        <v>4.2138558205443495</v>
      </c>
      <c r="M269" s="50">
        <f t="shared" si="63"/>
        <v>3.9978025657648875</v>
      </c>
      <c r="N269" s="49">
        <f t="shared" si="64"/>
        <v>3.6628115529296599</v>
      </c>
      <c r="O269" s="50">
        <f t="shared" si="65"/>
        <v>4.648816490633048</v>
      </c>
      <c r="P269" s="49">
        <f t="shared" si="66"/>
        <v>5.3880810968930435</v>
      </c>
      <c r="Q269" s="49">
        <f t="shared" si="67"/>
        <v>5.1064939804151663</v>
      </c>
      <c r="R269" s="49">
        <f t="shared" si="68"/>
        <v>5.3458165845882419</v>
      </c>
      <c r="S269" s="50">
        <f t="shared" si="69"/>
        <v>5.7340600286448078</v>
      </c>
      <c r="T269" s="49">
        <f t="shared" si="70"/>
        <v>6.0704499851864</v>
      </c>
      <c r="U269" s="49">
        <f t="shared" si="71"/>
        <v>4.1947004487887591</v>
      </c>
      <c r="V269" s="49" cm="1">
        <f t="array" ref="V269">MIN(IF(B269:U269&lt;&gt;0,B269:U269))</f>
        <v>2.4109408971336408</v>
      </c>
      <c r="X269" s="46" t="s">
        <v>3</v>
      </c>
      <c r="Y269" s="49">
        <v>1.0911298409972237</v>
      </c>
    </row>
    <row r="270" spans="1:28">
      <c r="A270" s="46" t="s">
        <v>7</v>
      </c>
      <c r="B270" s="49">
        <f t="shared" si="72"/>
        <v>1.7558025467798084</v>
      </c>
      <c r="C270" s="49">
        <f t="shared" si="53"/>
        <v>1.4191350927828608</v>
      </c>
      <c r="D270" s="49">
        <f t="shared" si="54"/>
        <v>2.5876767864394692</v>
      </c>
      <c r="E270" s="52">
        <f t="shared" si="55"/>
        <v>1.0911298409972237</v>
      </c>
      <c r="F270" s="49">
        <f t="shared" si="56"/>
        <v>3.2515963293274739</v>
      </c>
      <c r="G270" s="49">
        <f t="shared" si="57"/>
        <v>0</v>
      </c>
      <c r="H270" s="49">
        <f t="shared" si="58"/>
        <v>1.2186778137955505</v>
      </c>
      <c r="I270" s="49">
        <f t="shared" si="59"/>
        <v>1.9127123512560225</v>
      </c>
      <c r="J270" s="50">
        <f t="shared" si="60"/>
        <v>1.2885673509305819</v>
      </c>
      <c r="K270" s="49">
        <f t="shared" si="61"/>
        <v>1.9567795241917687</v>
      </c>
      <c r="L270" s="49">
        <f t="shared" si="62"/>
        <v>1.5879184420621903</v>
      </c>
      <c r="M270" s="50">
        <f t="shared" si="63"/>
        <v>1.5924778948885678</v>
      </c>
      <c r="N270" s="49">
        <f t="shared" si="64"/>
        <v>2.8622687094589438</v>
      </c>
      <c r="O270" s="50">
        <f t="shared" si="65"/>
        <v>3.1869267625892999</v>
      </c>
      <c r="P270" s="49">
        <f t="shared" si="66"/>
        <v>4.681428786004866</v>
      </c>
      <c r="Q270" s="49">
        <f t="shared" si="67"/>
        <v>5.7532073183502233</v>
      </c>
      <c r="R270" s="49">
        <f t="shared" si="68"/>
        <v>5.0314063366416839</v>
      </c>
      <c r="S270" s="50">
        <f t="shared" si="69"/>
        <v>5.3514692644334492</v>
      </c>
      <c r="T270" s="49">
        <f t="shared" si="70"/>
        <v>6.7662076826958391</v>
      </c>
      <c r="U270" s="49">
        <f t="shared" si="71"/>
        <v>5.2680223131388733</v>
      </c>
      <c r="V270" s="49" cm="1">
        <f t="array" ref="V270">MIN(IF(B270:U270&lt;&gt;0,B270:U270))</f>
        <v>1.0911298409972237</v>
      </c>
      <c r="X270" s="46" t="s">
        <v>7</v>
      </c>
      <c r="Y270" s="49">
        <v>1.0911298409972237</v>
      </c>
    </row>
    <row r="271" spans="1:28">
      <c r="A271" s="46" t="s">
        <v>8</v>
      </c>
      <c r="B271" s="49">
        <f>SQRT((B$241-B247)^2+(C$241-C247)^2+(D$241-D247)^2+(E$241-E247)^2+(F$241-F247)^2+(G$241-G247)^2+(H$241-H247)^2)</f>
        <v>1.8196150918501168</v>
      </c>
      <c r="C271" s="49">
        <f t="shared" si="53"/>
        <v>1.51802034975311</v>
      </c>
      <c r="D271" s="49">
        <f t="shared" si="54"/>
        <v>2.1819270837180285</v>
      </c>
      <c r="E271" s="49">
        <f t="shared" si="55"/>
        <v>1.6701603820411792</v>
      </c>
      <c r="F271" s="49">
        <f t="shared" si="56"/>
        <v>2.7276773937902723</v>
      </c>
      <c r="G271" s="52">
        <f t="shared" si="57"/>
        <v>1.2186778137955505</v>
      </c>
      <c r="H271" s="49">
        <f t="shared" si="58"/>
        <v>0</v>
      </c>
      <c r="I271" s="49">
        <f t="shared" si="59"/>
        <v>2.5209615719866401</v>
      </c>
      <c r="J271" s="50">
        <f t="shared" si="60"/>
        <v>1.6383428531961042</v>
      </c>
      <c r="K271" s="49">
        <f t="shared" si="61"/>
        <v>2.4221447370674003</v>
      </c>
      <c r="L271" s="49">
        <f t="shared" si="62"/>
        <v>2.0883594787650583</v>
      </c>
      <c r="M271" s="50">
        <f t="shared" si="63"/>
        <v>2.4304716220881954</v>
      </c>
      <c r="N271" s="49">
        <f t="shared" si="64"/>
        <v>2.7452481818431003</v>
      </c>
      <c r="O271" s="50">
        <f t="shared" si="65"/>
        <v>3.4709125438231685</v>
      </c>
      <c r="P271" s="49">
        <f t="shared" si="66"/>
        <v>4.6354275951981183</v>
      </c>
      <c r="Q271" s="49">
        <f t="shared" si="67"/>
        <v>5.49592250321267</v>
      </c>
      <c r="R271" s="49">
        <f t="shared" si="68"/>
        <v>4.9007592122095698</v>
      </c>
      <c r="S271" s="50">
        <f t="shared" si="69"/>
        <v>5.1514268505810419</v>
      </c>
      <c r="T271" s="49">
        <f t="shared" si="70"/>
        <v>6.5057586138142183</v>
      </c>
      <c r="U271" s="49">
        <f t="shared" si="71"/>
        <v>5.110231994120098</v>
      </c>
      <c r="V271" s="49" cm="1">
        <f t="array" ref="V271">MIN(IF(B271:U271&lt;&gt;0,B271:U271))</f>
        <v>1.2186778137955505</v>
      </c>
      <c r="X271" s="46" t="s">
        <v>17</v>
      </c>
      <c r="Y271" s="49">
        <v>1.1527547162090135</v>
      </c>
    </row>
    <row r="272" spans="1:28">
      <c r="A272" s="46" t="s">
        <v>9</v>
      </c>
      <c r="B272" s="49">
        <f t="shared" si="72"/>
        <v>1.8329025988349352</v>
      </c>
      <c r="C272" s="52">
        <f t="shared" si="53"/>
        <v>1.5200778073112304</v>
      </c>
      <c r="D272" s="49">
        <f t="shared" si="54"/>
        <v>3.5541946098531199</v>
      </c>
      <c r="E272" s="49">
        <f t="shared" si="55"/>
        <v>1.6298177637748847</v>
      </c>
      <c r="F272" s="49">
        <f t="shared" si="56"/>
        <v>3.7446228470944565</v>
      </c>
      <c r="G272" s="49">
        <f t="shared" si="57"/>
        <v>1.9127123512560225</v>
      </c>
      <c r="H272" s="49">
        <f t="shared" si="58"/>
        <v>2.5209615719866401</v>
      </c>
      <c r="I272" s="49">
        <f t="shared" si="59"/>
        <v>0</v>
      </c>
      <c r="J272" s="50">
        <f t="shared" si="60"/>
        <v>1.5336799598373132</v>
      </c>
      <c r="K272" s="49">
        <f t="shared" si="61"/>
        <v>1.9746248464894884</v>
      </c>
      <c r="L272" s="49">
        <f t="shared" si="62"/>
        <v>2.1091457328338343</v>
      </c>
      <c r="M272" s="50">
        <f t="shared" si="63"/>
        <v>2.1594199825681382</v>
      </c>
      <c r="N272" s="49">
        <f t="shared" si="64"/>
        <v>3.3728902636013354</v>
      </c>
      <c r="O272" s="50">
        <f t="shared" si="65"/>
        <v>3.0192152863198123</v>
      </c>
      <c r="P272" s="49">
        <f t="shared" si="66"/>
        <v>5.506916646191188</v>
      </c>
      <c r="Q272" s="49">
        <f t="shared" si="67"/>
        <v>6.049925922657855</v>
      </c>
      <c r="R272" s="49">
        <f t="shared" si="68"/>
        <v>5.4956859981782653</v>
      </c>
      <c r="S272" s="50">
        <f t="shared" si="69"/>
        <v>6.0154701736816314</v>
      </c>
      <c r="T272" s="49">
        <f t="shared" si="70"/>
        <v>6.9572991752731692</v>
      </c>
      <c r="U272" s="49">
        <f t="shared" si="71"/>
        <v>4.6107158674383806</v>
      </c>
      <c r="V272" s="49" cm="1">
        <f t="array" ref="V272">MIN(IF(B272:U272&lt;&gt;0,B272:U272))</f>
        <v>1.5200778073112304</v>
      </c>
      <c r="X272" s="46" t="s">
        <v>20</v>
      </c>
      <c r="Y272" s="49">
        <v>1.1527547162090135</v>
      </c>
    </row>
    <row r="273" spans="1:25">
      <c r="A273" s="46" t="s">
        <v>10</v>
      </c>
      <c r="B273" s="52">
        <f t="shared" si="72"/>
        <v>0.67362080146807846</v>
      </c>
      <c r="C273" s="49">
        <f t="shared" si="53"/>
        <v>1.3999540894787383</v>
      </c>
      <c r="D273" s="49">
        <f t="shared" si="54"/>
        <v>2.0993970408408864</v>
      </c>
      <c r="E273" s="49">
        <f t="shared" si="55"/>
        <v>1.5411344046077147</v>
      </c>
      <c r="F273" s="49">
        <f t="shared" si="56"/>
        <v>2.8643100988394337</v>
      </c>
      <c r="G273" s="49">
        <f t="shared" si="57"/>
        <v>1.2885673509305819</v>
      </c>
      <c r="H273" s="49">
        <f t="shared" si="58"/>
        <v>1.6383428531961042</v>
      </c>
      <c r="I273" s="49">
        <f t="shared" si="59"/>
        <v>1.5336799598373132</v>
      </c>
      <c r="J273" s="50">
        <f t="shared" si="60"/>
        <v>0</v>
      </c>
      <c r="K273" s="49">
        <f t="shared" si="61"/>
        <v>1.209885866361126</v>
      </c>
      <c r="L273" s="49">
        <f t="shared" si="62"/>
        <v>1.6245495062047433</v>
      </c>
      <c r="M273" s="50">
        <f t="shared" si="63"/>
        <v>2.0519133585313893</v>
      </c>
      <c r="N273" s="49">
        <f t="shared" si="64"/>
        <v>2.0575615922477226</v>
      </c>
      <c r="O273" s="50">
        <f t="shared" si="65"/>
        <v>2.2984880989351764</v>
      </c>
      <c r="P273" s="49">
        <f t="shared" si="66"/>
        <v>4.1807304634749567</v>
      </c>
      <c r="Q273" s="49">
        <f t="shared" si="67"/>
        <v>4.7999653620560849</v>
      </c>
      <c r="R273" s="49">
        <f t="shared" si="68"/>
        <v>4.2480909904826492</v>
      </c>
      <c r="S273" s="50">
        <f t="shared" si="69"/>
        <v>4.7107186021477361</v>
      </c>
      <c r="T273" s="49">
        <f t="shared" si="70"/>
        <v>5.7767520677305608</v>
      </c>
      <c r="U273" s="49">
        <f t="shared" si="71"/>
        <v>4.0065643759564455</v>
      </c>
      <c r="V273" s="49" cm="1">
        <f t="array" ref="V273">MIN(IF(B273:U273&lt;&gt;0,B273:U273))</f>
        <v>0.67362080146807846</v>
      </c>
      <c r="X273" s="46" t="s">
        <v>13</v>
      </c>
      <c r="Y273" s="49">
        <v>1.1865504617671854</v>
      </c>
    </row>
    <row r="274" spans="1:25">
      <c r="A274" s="46" t="s">
        <v>11</v>
      </c>
      <c r="B274" s="49">
        <f t="shared" si="72"/>
        <v>1.4251760969898775</v>
      </c>
      <c r="C274" s="49">
        <f t="shared" si="53"/>
        <v>2.0305555903505561</v>
      </c>
      <c r="D274" s="49">
        <f t="shared" si="54"/>
        <v>2.3147729166034976</v>
      </c>
      <c r="E274" s="49">
        <f t="shared" si="55"/>
        <v>2.0576661763755997</v>
      </c>
      <c r="F274" s="49">
        <f t="shared" si="56"/>
        <v>3.6545871519444537</v>
      </c>
      <c r="G274" s="49">
        <f t="shared" si="57"/>
        <v>1.9567795241917687</v>
      </c>
      <c r="H274" s="49">
        <f t="shared" si="58"/>
        <v>2.4221447370674003</v>
      </c>
      <c r="I274" s="49">
        <f t="shared" si="59"/>
        <v>1.9746248464894884</v>
      </c>
      <c r="J274" s="51">
        <f t="shared" si="60"/>
        <v>1.209885866361126</v>
      </c>
      <c r="K274" s="49">
        <f t="shared" si="61"/>
        <v>0</v>
      </c>
      <c r="L274" s="49">
        <f t="shared" si="62"/>
        <v>1.3334321029646707</v>
      </c>
      <c r="M274" s="50">
        <f t="shared" si="63"/>
        <v>1.9250775980325039</v>
      </c>
      <c r="N274" s="49">
        <f t="shared" si="64"/>
        <v>1.951473751196978</v>
      </c>
      <c r="O274" s="50">
        <f t="shared" si="65"/>
        <v>1.7432412751565449</v>
      </c>
      <c r="P274" s="49">
        <f t="shared" si="66"/>
        <v>4.01363388096535</v>
      </c>
      <c r="Q274" s="49">
        <f t="shared" si="67"/>
        <v>4.6947580445153454</v>
      </c>
      <c r="R274" s="49">
        <f t="shared" si="68"/>
        <v>3.8380385725657726</v>
      </c>
      <c r="S274" s="50">
        <f t="shared" si="69"/>
        <v>4.3597195737546448</v>
      </c>
      <c r="T274" s="49">
        <f t="shared" si="70"/>
        <v>5.5816751585563527</v>
      </c>
      <c r="U274" s="49">
        <f t="shared" si="71"/>
        <v>3.9636555302694774</v>
      </c>
      <c r="V274" s="49" cm="1">
        <f t="array" ref="V274">MIN(IF(B274:U274&lt;&gt;0,B274:U274))</f>
        <v>1.209885866361126</v>
      </c>
      <c r="X274" s="46" t="s">
        <v>11</v>
      </c>
      <c r="Y274" s="49">
        <v>1.209885866361126</v>
      </c>
    </row>
    <row r="275" spans="1:25">
      <c r="A275" s="46" t="s">
        <v>12</v>
      </c>
      <c r="B275" s="49">
        <f t="shared" si="72"/>
        <v>1.8175799548609846</v>
      </c>
      <c r="C275" s="49">
        <f t="shared" si="53"/>
        <v>1.5582439255940121</v>
      </c>
      <c r="D275" s="49">
        <f t="shared" si="54"/>
        <v>2.7939664653121552</v>
      </c>
      <c r="E275" s="49">
        <f t="shared" si="55"/>
        <v>1.9201739269142388</v>
      </c>
      <c r="F275" s="49">
        <f t="shared" si="56"/>
        <v>4.2138558205443495</v>
      </c>
      <c r="G275" s="49">
        <f t="shared" si="57"/>
        <v>1.5879184420621903</v>
      </c>
      <c r="H275" s="49">
        <f t="shared" si="58"/>
        <v>2.0883594787650583</v>
      </c>
      <c r="I275" s="49">
        <f t="shared" si="59"/>
        <v>2.1091457328338343</v>
      </c>
      <c r="J275" s="50">
        <f t="shared" si="60"/>
        <v>1.6245495062047433</v>
      </c>
      <c r="K275" s="52">
        <f t="shared" si="61"/>
        <v>1.3334321029646707</v>
      </c>
      <c r="L275" s="49">
        <f t="shared" si="62"/>
        <v>0</v>
      </c>
      <c r="M275" s="50">
        <f t="shared" si="63"/>
        <v>1.7093025873048491</v>
      </c>
      <c r="N275" s="49">
        <f t="shared" si="64"/>
        <v>2.3431327774082606</v>
      </c>
      <c r="O275" s="50">
        <f t="shared" si="65"/>
        <v>2.2821391316875959</v>
      </c>
      <c r="P275" s="49">
        <f t="shared" si="66"/>
        <v>4.2682995831353097</v>
      </c>
      <c r="Q275" s="49">
        <f t="shared" si="67"/>
        <v>5.4087415257341629</v>
      </c>
      <c r="R275" s="49">
        <f t="shared" si="68"/>
        <v>4.3831463224392859</v>
      </c>
      <c r="S275" s="50">
        <f t="shared" si="69"/>
        <v>4.7345856539373825</v>
      </c>
      <c r="T275" s="49">
        <f t="shared" si="70"/>
        <v>6.3374048185045453</v>
      </c>
      <c r="U275" s="49">
        <f t="shared" si="71"/>
        <v>5.0333331674754893</v>
      </c>
      <c r="V275" s="49" cm="1">
        <f t="array" ref="V275">MIN(IF(B275:U275&lt;&gt;0,B275:U275))</f>
        <v>1.3334321029646707</v>
      </c>
      <c r="X275" s="46" t="s">
        <v>8</v>
      </c>
      <c r="Y275" s="49">
        <v>1.2186778137955505</v>
      </c>
    </row>
    <row r="276" spans="1:25">
      <c r="A276" s="46" t="s">
        <v>13</v>
      </c>
      <c r="B276" s="49">
        <f t="shared" si="72"/>
        <v>2.6013325138803758</v>
      </c>
      <c r="C276" s="49">
        <f t="shared" si="53"/>
        <v>2.1748766035709286</v>
      </c>
      <c r="D276" s="49">
        <f t="shared" si="54"/>
        <v>3.1319625221937546</v>
      </c>
      <c r="E276" s="52">
        <f t="shared" si="55"/>
        <v>1.1865504617671854</v>
      </c>
      <c r="F276" s="49">
        <f t="shared" si="56"/>
        <v>3.9978025657648875</v>
      </c>
      <c r="G276" s="49">
        <f t="shared" si="57"/>
        <v>1.5924778948885678</v>
      </c>
      <c r="H276" s="49">
        <f t="shared" si="58"/>
        <v>2.4304716220881954</v>
      </c>
      <c r="I276" s="49">
        <f t="shared" si="59"/>
        <v>2.1594199825681382</v>
      </c>
      <c r="J276" s="50">
        <f t="shared" si="60"/>
        <v>2.0519133585313893</v>
      </c>
      <c r="K276" s="49">
        <f t="shared" si="61"/>
        <v>1.9250775980325039</v>
      </c>
      <c r="L276" s="49">
        <f t="shared" si="62"/>
        <v>1.7093025873048491</v>
      </c>
      <c r="M276" s="50">
        <f t="shared" si="63"/>
        <v>0</v>
      </c>
      <c r="N276" s="49">
        <f t="shared" si="64"/>
        <v>3.4425450842923095</v>
      </c>
      <c r="O276" s="50">
        <f t="shared" si="65"/>
        <v>3.4742216297647537</v>
      </c>
      <c r="P276" s="49">
        <f t="shared" si="66"/>
        <v>5.261104253765521</v>
      </c>
      <c r="Q276" s="49">
        <f t="shared" si="67"/>
        <v>6.2992690330439984</v>
      </c>
      <c r="R276" s="49">
        <f t="shared" si="68"/>
        <v>5.4408310880672834</v>
      </c>
      <c r="S276" s="50">
        <f t="shared" si="69"/>
        <v>5.8119636692012948</v>
      </c>
      <c r="T276" s="49">
        <f t="shared" si="70"/>
        <v>7.2696863870296458</v>
      </c>
      <c r="U276" s="49">
        <f t="shared" si="71"/>
        <v>5.510037629184354</v>
      </c>
      <c r="V276" s="49" cm="1">
        <f t="array" ref="V276">MIN(IF(B276:U276&lt;&gt;0,B276:U276))</f>
        <v>1.1865504617671854</v>
      </c>
      <c r="X276" s="46" t="s">
        <v>12</v>
      </c>
      <c r="Y276" s="49">
        <v>1.3334321029646707</v>
      </c>
    </row>
    <row r="277" spans="1:25">
      <c r="A277" s="46" t="s">
        <v>14</v>
      </c>
      <c r="B277" s="49">
        <f t="shared" si="72"/>
        <v>1.7082266879756398</v>
      </c>
      <c r="C277" s="49">
        <f t="shared" si="53"/>
        <v>2.861833028192466</v>
      </c>
      <c r="D277" s="49">
        <f t="shared" si="54"/>
        <v>1.7301792204738986</v>
      </c>
      <c r="E277" s="49">
        <f t="shared" si="55"/>
        <v>3.3235277908772023</v>
      </c>
      <c r="F277" s="49">
        <f t="shared" si="56"/>
        <v>3.6628115529296599</v>
      </c>
      <c r="G277" s="49">
        <f t="shared" si="57"/>
        <v>2.8622687094589438</v>
      </c>
      <c r="H277" s="49">
        <f t="shared" si="58"/>
        <v>2.7452481818431003</v>
      </c>
      <c r="I277" s="49">
        <f t="shared" si="59"/>
        <v>3.3728902636013354</v>
      </c>
      <c r="J277" s="50">
        <f t="shared" si="60"/>
        <v>2.0575615922477226</v>
      </c>
      <c r="K277" s="49">
        <f t="shared" si="61"/>
        <v>1.951473751196978</v>
      </c>
      <c r="L277" s="49">
        <f t="shared" si="62"/>
        <v>2.3431327774082606</v>
      </c>
      <c r="M277" s="50">
        <f t="shared" si="63"/>
        <v>3.4425450842923095</v>
      </c>
      <c r="N277" s="49">
        <f t="shared" si="64"/>
        <v>0</v>
      </c>
      <c r="O277" s="51">
        <f t="shared" si="65"/>
        <v>1.700186473723752</v>
      </c>
      <c r="P277" s="49">
        <f t="shared" si="66"/>
        <v>2.5542182148268489</v>
      </c>
      <c r="Q277" s="49">
        <f t="shared" si="67"/>
        <v>3.0957545849190722</v>
      </c>
      <c r="R277" s="49">
        <f t="shared" si="68"/>
        <v>2.3846132656750263</v>
      </c>
      <c r="S277" s="50">
        <f t="shared" si="69"/>
        <v>2.8398292808289214</v>
      </c>
      <c r="T277" s="49">
        <f t="shared" si="70"/>
        <v>4.0788764174776855</v>
      </c>
      <c r="U277" s="49">
        <f t="shared" si="71"/>
        <v>3.5821876991966755</v>
      </c>
      <c r="V277" s="49" cm="1">
        <f t="array" ref="V277">MIN(IF(B277:U277&lt;&gt;0,B277:U277))</f>
        <v>1.700186473723752</v>
      </c>
      <c r="X277" s="46" t="s">
        <v>16</v>
      </c>
      <c r="Y277" s="49">
        <v>1.3464368544597969</v>
      </c>
    </row>
    <row r="278" spans="1:25">
      <c r="A278" s="46" t="s">
        <v>15</v>
      </c>
      <c r="B278" s="49">
        <f t="shared" si="72"/>
        <v>2.1169655057200174</v>
      </c>
      <c r="C278" s="49">
        <f t="shared" si="53"/>
        <v>2.8813315760976534</v>
      </c>
      <c r="D278" s="49">
        <f t="shared" si="54"/>
        <v>3.0499136758279652</v>
      </c>
      <c r="E278" s="49">
        <f t="shared" si="55"/>
        <v>3.5892882675557813</v>
      </c>
      <c r="F278" s="49">
        <f t="shared" si="56"/>
        <v>4.648816490633048</v>
      </c>
      <c r="G278" s="49">
        <f t="shared" si="57"/>
        <v>3.1869267625892999</v>
      </c>
      <c r="H278" s="49">
        <f t="shared" si="58"/>
        <v>3.4709125438231685</v>
      </c>
      <c r="I278" s="49">
        <f t="shared" si="59"/>
        <v>3.0192152863198123</v>
      </c>
      <c r="J278" s="50">
        <f t="shared" si="60"/>
        <v>2.2984880989351764</v>
      </c>
      <c r="K278" s="49">
        <f t="shared" si="61"/>
        <v>1.7432412751565449</v>
      </c>
      <c r="L278" s="49">
        <f t="shared" si="62"/>
        <v>2.2821391316875959</v>
      </c>
      <c r="M278" s="50">
        <f t="shared" si="63"/>
        <v>3.4742216297647537</v>
      </c>
      <c r="N278" s="49">
        <f t="shared" si="64"/>
        <v>1.700186473723752</v>
      </c>
      <c r="O278" s="50">
        <f t="shared" si="65"/>
        <v>0</v>
      </c>
      <c r="P278" s="49">
        <f t="shared" si="66"/>
        <v>3.102961755617117</v>
      </c>
      <c r="Q278" s="49">
        <f t="shared" si="67"/>
        <v>3.8682738934428329</v>
      </c>
      <c r="R278" s="49">
        <f t="shared" si="68"/>
        <v>2.8183229837613086</v>
      </c>
      <c r="S278" s="50">
        <f t="shared" si="69"/>
        <v>3.3731050600997006</v>
      </c>
      <c r="T278" s="49">
        <f t="shared" si="70"/>
        <v>4.5846559612046853</v>
      </c>
      <c r="U278" s="49">
        <f t="shared" si="71"/>
        <v>3.6499272671320266</v>
      </c>
      <c r="V278" s="49" cm="1">
        <f t="array" ref="V278">MIN(IF(B278:U278&lt;&gt;0,B278:U278))</f>
        <v>1.700186473723752</v>
      </c>
      <c r="X278" s="46" t="s">
        <v>87</v>
      </c>
      <c r="Y278" s="49">
        <v>1.3999540894787383</v>
      </c>
    </row>
    <row r="279" spans="1:25">
      <c r="A279" s="46" t="s">
        <v>16</v>
      </c>
      <c r="B279" s="49">
        <f t="shared" si="72"/>
        <v>4.0013604863405714</v>
      </c>
      <c r="C279" s="49">
        <f t="shared" si="53"/>
        <v>4.8586378445858882</v>
      </c>
      <c r="D279" s="49">
        <f t="shared" si="54"/>
        <v>3.3951178726317202</v>
      </c>
      <c r="E279" s="49">
        <f t="shared" si="55"/>
        <v>5.3877689608576542</v>
      </c>
      <c r="F279" s="49">
        <f t="shared" si="56"/>
        <v>5.3880810968930435</v>
      </c>
      <c r="G279" s="49">
        <f t="shared" si="57"/>
        <v>4.681428786004866</v>
      </c>
      <c r="H279" s="49">
        <f t="shared" si="58"/>
        <v>4.6354275951981183</v>
      </c>
      <c r="I279" s="49">
        <f t="shared" si="59"/>
        <v>5.506916646191188</v>
      </c>
      <c r="J279" s="50">
        <f t="shared" si="60"/>
        <v>4.1807304634749567</v>
      </c>
      <c r="K279" s="49">
        <f t="shared" si="61"/>
        <v>4.01363388096535</v>
      </c>
      <c r="L279" s="49">
        <f t="shared" si="62"/>
        <v>4.2682995831353097</v>
      </c>
      <c r="M279" s="50">
        <f t="shared" si="63"/>
        <v>5.261104253765521</v>
      </c>
      <c r="N279" s="49">
        <f t="shared" si="64"/>
        <v>2.5542182148268489</v>
      </c>
      <c r="O279" s="50">
        <f t="shared" si="65"/>
        <v>3.102961755617117</v>
      </c>
      <c r="P279" s="49">
        <f t="shared" si="66"/>
        <v>0</v>
      </c>
      <c r="Q279" s="49">
        <f t="shared" si="67"/>
        <v>2.771430693566062</v>
      </c>
      <c r="R279" s="49">
        <f t="shared" si="68"/>
        <v>1.6242013977151422</v>
      </c>
      <c r="S279" s="51">
        <f t="shared" si="69"/>
        <v>1.3464368544597969</v>
      </c>
      <c r="T279" s="49">
        <f t="shared" si="70"/>
        <v>3.4177706689019254</v>
      </c>
      <c r="U279" s="49">
        <f t="shared" si="71"/>
        <v>4.9068059073821759</v>
      </c>
      <c r="V279" s="49" cm="1">
        <f t="array" ref="V279">MIN(IF(B279:U279&lt;&gt;0,B279:U279))</f>
        <v>1.3464368544597969</v>
      </c>
      <c r="X279" s="46" t="s">
        <v>9</v>
      </c>
      <c r="Y279" s="49">
        <v>1.5200778073112304</v>
      </c>
    </row>
    <row r="280" spans="1:25">
      <c r="A280" s="46" t="s">
        <v>17</v>
      </c>
      <c r="B280" s="49">
        <f t="shared" si="72"/>
        <v>4.402829076675177</v>
      </c>
      <c r="C280" s="49">
        <f t="shared" si="53"/>
        <v>5.7553595717768609</v>
      </c>
      <c r="D280" s="49">
        <f t="shared" si="54"/>
        <v>3.7607660882190248</v>
      </c>
      <c r="E280" s="49">
        <f t="shared" si="55"/>
        <v>6.1473995563974393</v>
      </c>
      <c r="F280" s="49">
        <f t="shared" si="56"/>
        <v>5.1064939804151663</v>
      </c>
      <c r="G280" s="49">
        <f t="shared" si="57"/>
        <v>5.7532073183502233</v>
      </c>
      <c r="H280" s="49">
        <f t="shared" si="58"/>
        <v>5.49592250321267</v>
      </c>
      <c r="I280" s="49">
        <f t="shared" si="59"/>
        <v>6.049925922657855</v>
      </c>
      <c r="J280" s="50">
        <f t="shared" si="60"/>
        <v>4.7999653620560849</v>
      </c>
      <c r="K280" s="49">
        <f t="shared" si="61"/>
        <v>4.6947580445153454</v>
      </c>
      <c r="L280" s="49">
        <f t="shared" si="62"/>
        <v>5.4087415257341629</v>
      </c>
      <c r="M280" s="50">
        <f t="shared" si="63"/>
        <v>6.2992690330439984</v>
      </c>
      <c r="N280" s="49">
        <f t="shared" si="64"/>
        <v>3.0957545849190722</v>
      </c>
      <c r="O280" s="50">
        <f t="shared" si="65"/>
        <v>3.8682738934428329</v>
      </c>
      <c r="P280" s="49">
        <f t="shared" si="66"/>
        <v>2.771430693566062</v>
      </c>
      <c r="Q280" s="49">
        <f t="shared" si="67"/>
        <v>0</v>
      </c>
      <c r="R280" s="49">
        <f t="shared" si="68"/>
        <v>1.8927741471455446</v>
      </c>
      <c r="S280" s="50">
        <f t="shared" si="69"/>
        <v>2.3186859895171117</v>
      </c>
      <c r="T280" s="52">
        <f t="shared" si="70"/>
        <v>1.1527547162090135</v>
      </c>
      <c r="U280" s="49">
        <f t="shared" si="71"/>
        <v>3.3425733424259567</v>
      </c>
      <c r="V280" s="49" cm="1">
        <f t="array" ref="V280">MIN(IF(B280:U280&lt;&gt;0,B280:U280))</f>
        <v>1.1527547162090135</v>
      </c>
      <c r="X280" s="46" t="s">
        <v>14</v>
      </c>
      <c r="Y280" s="49">
        <v>1.700186473723752</v>
      </c>
    </row>
    <row r="281" spans="1:25">
      <c r="A281" s="46" t="s">
        <v>18</v>
      </c>
      <c r="B281" s="49">
        <f t="shared" si="72"/>
        <v>3.9544139024046538</v>
      </c>
      <c r="C281" s="49">
        <f t="shared" si="53"/>
        <v>5.0396170000527896</v>
      </c>
      <c r="D281" s="49">
        <f t="shared" si="54"/>
        <v>3.3759130158464137</v>
      </c>
      <c r="E281" s="49">
        <f t="shared" si="55"/>
        <v>5.5432679308004227</v>
      </c>
      <c r="F281" s="49">
        <f t="shared" si="56"/>
        <v>5.3458165845882419</v>
      </c>
      <c r="G281" s="49">
        <f t="shared" si="57"/>
        <v>5.0314063366416839</v>
      </c>
      <c r="H281" s="49">
        <f t="shared" si="58"/>
        <v>4.9007592122095698</v>
      </c>
      <c r="I281" s="49">
        <f t="shared" si="59"/>
        <v>5.4956859981782653</v>
      </c>
      <c r="J281" s="50">
        <f t="shared" si="60"/>
        <v>4.2480909904826492</v>
      </c>
      <c r="K281" s="49">
        <f t="shared" si="61"/>
        <v>3.8380385725657726</v>
      </c>
      <c r="L281" s="49">
        <f t="shared" si="62"/>
        <v>4.3831463224392859</v>
      </c>
      <c r="M281" s="50">
        <f t="shared" si="63"/>
        <v>5.4408310880672834</v>
      </c>
      <c r="N281" s="49">
        <f t="shared" si="64"/>
        <v>2.3846132656750263</v>
      </c>
      <c r="O281" s="50">
        <f t="shared" si="65"/>
        <v>2.8183229837613086</v>
      </c>
      <c r="P281" s="49">
        <f t="shared" si="66"/>
        <v>1.6242013977151422</v>
      </c>
      <c r="Q281" s="49">
        <f t="shared" si="67"/>
        <v>1.8927741471455446</v>
      </c>
      <c r="R281" s="49">
        <f t="shared" si="68"/>
        <v>0</v>
      </c>
      <c r="S281" s="51">
        <f t="shared" si="69"/>
        <v>0.86406376467890744</v>
      </c>
      <c r="T281" s="49">
        <f t="shared" si="70"/>
        <v>2.3857643505307395</v>
      </c>
      <c r="U281" s="49">
        <f t="shared" si="71"/>
        <v>3.9802187426868239</v>
      </c>
      <c r="V281" s="49" cm="1">
        <f t="array" ref="V281">MIN(IF(B281:U281&lt;&gt;0,B281:U281))</f>
        <v>0.86406376467890744</v>
      </c>
      <c r="X281" s="46" t="s">
        <v>15</v>
      </c>
      <c r="Y281" s="49">
        <v>1.700186473723752</v>
      </c>
    </row>
    <row r="282" spans="1:25">
      <c r="A282" s="46" t="s">
        <v>19</v>
      </c>
      <c r="B282" s="49">
        <f t="shared" si="72"/>
        <v>4.4500794988758816</v>
      </c>
      <c r="C282" s="49">
        <f t="shared" si="53"/>
        <v>5.3814036462016368</v>
      </c>
      <c r="D282" s="49">
        <f t="shared" si="54"/>
        <v>3.6863292629740849</v>
      </c>
      <c r="E282" s="49">
        <f t="shared" si="55"/>
        <v>5.9381573663450569</v>
      </c>
      <c r="F282" s="49">
        <f t="shared" si="56"/>
        <v>5.7340600286448078</v>
      </c>
      <c r="G282" s="49">
        <f t="shared" si="57"/>
        <v>5.3514692644334492</v>
      </c>
      <c r="H282" s="49">
        <f t="shared" si="58"/>
        <v>5.1514268505810419</v>
      </c>
      <c r="I282" s="49">
        <f t="shared" si="59"/>
        <v>6.0154701736816314</v>
      </c>
      <c r="J282" s="50">
        <f t="shared" si="60"/>
        <v>4.7107186021477361</v>
      </c>
      <c r="K282" s="49">
        <f t="shared" si="61"/>
        <v>4.3597195737546448</v>
      </c>
      <c r="L282" s="49">
        <f t="shared" si="62"/>
        <v>4.7345856539373825</v>
      </c>
      <c r="M282" s="50">
        <f t="shared" si="63"/>
        <v>5.8119636692012948</v>
      </c>
      <c r="N282" s="49">
        <f t="shared" si="64"/>
        <v>2.8398292808289214</v>
      </c>
      <c r="O282" s="50">
        <f t="shared" si="65"/>
        <v>3.3731050600997006</v>
      </c>
      <c r="P282" s="49">
        <f t="shared" si="66"/>
        <v>1.3464368544597969</v>
      </c>
      <c r="Q282" s="49">
        <f t="shared" si="67"/>
        <v>2.3186859895171117</v>
      </c>
      <c r="R282" s="52">
        <f t="shared" si="68"/>
        <v>0.86406376467890744</v>
      </c>
      <c r="S282" s="50">
        <f t="shared" si="69"/>
        <v>0</v>
      </c>
      <c r="T282" s="49">
        <f t="shared" si="70"/>
        <v>2.6989041706329417</v>
      </c>
      <c r="U282" s="49">
        <f t="shared" si="71"/>
        <v>4.6920080936570017</v>
      </c>
      <c r="V282" s="49" cm="1">
        <f t="array" ref="V282">MIN(IF(B282:U282&lt;&gt;0,B282:U282))</f>
        <v>0.86406376467890744</v>
      </c>
      <c r="X282" s="46" t="s">
        <v>2</v>
      </c>
      <c r="Y282" s="49">
        <v>1.7301792204738986</v>
      </c>
    </row>
    <row r="283" spans="1:25">
      <c r="A283" s="46" t="s">
        <v>20</v>
      </c>
      <c r="B283" s="49">
        <f t="shared" si="72"/>
        <v>5.3807061969814711</v>
      </c>
      <c r="C283" s="49">
        <f t="shared" si="53"/>
        <v>6.6928958364622266</v>
      </c>
      <c r="D283" s="49">
        <f t="shared" si="54"/>
        <v>4.7854066988418564</v>
      </c>
      <c r="E283" s="49">
        <f t="shared" si="55"/>
        <v>7.1571973097235446</v>
      </c>
      <c r="F283" s="49">
        <f t="shared" si="56"/>
        <v>6.0704499851864</v>
      </c>
      <c r="G283" s="49">
        <f t="shared" si="57"/>
        <v>6.7662076826958391</v>
      </c>
      <c r="H283" s="49">
        <f t="shared" si="58"/>
        <v>6.5057586138142183</v>
      </c>
      <c r="I283" s="49">
        <f t="shared" si="59"/>
        <v>6.9572991752731692</v>
      </c>
      <c r="J283" s="50">
        <f t="shared" si="60"/>
        <v>5.7767520677305608</v>
      </c>
      <c r="K283" s="49">
        <f t="shared" si="61"/>
        <v>5.5816751585563527</v>
      </c>
      <c r="L283" s="49">
        <f t="shared" si="62"/>
        <v>6.3374048185045453</v>
      </c>
      <c r="M283" s="50">
        <f t="shared" si="63"/>
        <v>7.2696863870296458</v>
      </c>
      <c r="N283" s="49">
        <f t="shared" si="64"/>
        <v>4.0788764174776855</v>
      </c>
      <c r="O283" s="50">
        <f t="shared" si="65"/>
        <v>4.5846559612046853</v>
      </c>
      <c r="P283" s="49">
        <f t="shared" si="66"/>
        <v>3.4177706689019254</v>
      </c>
      <c r="Q283" s="52">
        <f t="shared" si="67"/>
        <v>1.1527547162090135</v>
      </c>
      <c r="R283" s="49">
        <f t="shared" si="68"/>
        <v>2.3857643505307395</v>
      </c>
      <c r="S283" s="50">
        <f t="shared" si="69"/>
        <v>2.6989041706329417</v>
      </c>
      <c r="T283" s="49">
        <f t="shared" si="70"/>
        <v>0</v>
      </c>
      <c r="U283" s="49">
        <f t="shared" si="71"/>
        <v>3.776570183871319</v>
      </c>
      <c r="V283" s="49" cm="1">
        <f t="array" ref="V283">MIN(IF(B283:U283&lt;&gt;0,B283:U283))</f>
        <v>1.1527547162090135</v>
      </c>
      <c r="X283" s="46" t="s">
        <v>4</v>
      </c>
      <c r="Y283" s="49">
        <v>2.4109408971336408</v>
      </c>
    </row>
    <row r="284" spans="1:25">
      <c r="A284" s="46" t="s">
        <v>21</v>
      </c>
      <c r="B284" s="49">
        <f t="shared" si="72"/>
        <v>3.7143864972661453</v>
      </c>
      <c r="C284" s="49">
        <f t="shared" si="53"/>
        <v>4.8743548148799496</v>
      </c>
      <c r="D284" s="49">
        <f t="shared" si="54"/>
        <v>3.9163705753409523</v>
      </c>
      <c r="E284" s="49">
        <f t="shared" si="55"/>
        <v>5.1603657965775875</v>
      </c>
      <c r="F284" s="49">
        <f t="shared" si="56"/>
        <v>4.1947004487887591</v>
      </c>
      <c r="G284" s="49">
        <f t="shared" si="57"/>
        <v>5.2680223131388733</v>
      </c>
      <c r="H284" s="49">
        <f t="shared" si="58"/>
        <v>5.110231994120098</v>
      </c>
      <c r="I284" s="49">
        <f t="shared" si="59"/>
        <v>4.6107158674383806</v>
      </c>
      <c r="J284" s="50">
        <f t="shared" si="60"/>
        <v>4.0065643759564455</v>
      </c>
      <c r="K284" s="49">
        <f t="shared" si="61"/>
        <v>3.9636555302694774</v>
      </c>
      <c r="L284" s="49">
        <f t="shared" si="62"/>
        <v>5.0333331674754893</v>
      </c>
      <c r="M284" s="50">
        <f t="shared" si="63"/>
        <v>5.510037629184354</v>
      </c>
      <c r="N284" s="49">
        <f t="shared" si="64"/>
        <v>3.5821876991966755</v>
      </c>
      <c r="O284" s="50">
        <f t="shared" si="65"/>
        <v>3.6499272671320266</v>
      </c>
      <c r="P284" s="49">
        <f t="shared" si="66"/>
        <v>4.9068059073821759</v>
      </c>
      <c r="Q284" s="52">
        <f t="shared" si="67"/>
        <v>3.3425733424259567</v>
      </c>
      <c r="R284" s="49">
        <f t="shared" si="68"/>
        <v>3.9802187426868239</v>
      </c>
      <c r="S284" s="50">
        <f t="shared" si="69"/>
        <v>4.6920080936570017</v>
      </c>
      <c r="T284" s="49">
        <f t="shared" si="70"/>
        <v>3.776570183871319</v>
      </c>
      <c r="U284" s="49">
        <f t="shared" si="71"/>
        <v>0</v>
      </c>
      <c r="V284" s="49" cm="1">
        <f t="array" ref="V284">MIN(IF(B284:U284&lt;&gt;0,B284:U284))</f>
        <v>3.3425733424259567</v>
      </c>
      <c r="X284" s="46" t="s">
        <v>21</v>
      </c>
      <c r="Y284" s="49">
        <v>3.3425733424259567</v>
      </c>
    </row>
    <row r="287" spans="1:25" s="55" customFormat="1">
      <c r="A287" s="54" t="s">
        <v>184</v>
      </c>
      <c r="B287" s="54"/>
    </row>
    <row r="288" spans="1:25">
      <c r="A288" s="46" t="s">
        <v>84</v>
      </c>
      <c r="B288" t="s">
        <v>163</v>
      </c>
      <c r="C288" t="s">
        <v>152</v>
      </c>
      <c r="D288" t="s">
        <v>158</v>
      </c>
      <c r="E288" t="s">
        <v>168</v>
      </c>
      <c r="F288" t="s">
        <v>155</v>
      </c>
      <c r="G288" t="s">
        <v>185</v>
      </c>
    </row>
    <row r="289" spans="1:7">
      <c r="A289" s="46" t="s">
        <v>0</v>
      </c>
      <c r="B289">
        <v>10.5</v>
      </c>
      <c r="C289">
        <v>11</v>
      </c>
      <c r="D289">
        <v>11</v>
      </c>
      <c r="E289">
        <v>11</v>
      </c>
      <c r="F289">
        <v>11</v>
      </c>
      <c r="G289">
        <v>11</v>
      </c>
    </row>
    <row r="290" spans="1:7">
      <c r="A290" s="46" t="s">
        <v>87</v>
      </c>
      <c r="B290">
        <v>16</v>
      </c>
      <c r="C290">
        <v>18</v>
      </c>
      <c r="D290">
        <v>17</v>
      </c>
      <c r="E290">
        <v>17</v>
      </c>
      <c r="F290">
        <v>18</v>
      </c>
      <c r="G290">
        <v>17</v>
      </c>
    </row>
    <row r="291" spans="1:7">
      <c r="A291" s="46" t="s">
        <v>2</v>
      </c>
      <c r="B291">
        <v>8</v>
      </c>
      <c r="C291">
        <v>9</v>
      </c>
      <c r="D291">
        <v>9</v>
      </c>
      <c r="E291">
        <v>9</v>
      </c>
      <c r="F291">
        <v>9</v>
      </c>
      <c r="G291">
        <v>9</v>
      </c>
    </row>
    <row r="292" spans="1:7">
      <c r="A292" s="46" t="s">
        <v>3</v>
      </c>
      <c r="B292">
        <v>20</v>
      </c>
      <c r="C292">
        <v>19</v>
      </c>
      <c r="D292">
        <v>20</v>
      </c>
      <c r="E292">
        <v>20</v>
      </c>
      <c r="F292">
        <v>19</v>
      </c>
      <c r="G292">
        <v>20</v>
      </c>
    </row>
    <row r="293" spans="1:7">
      <c r="A293" s="46" t="s">
        <v>4</v>
      </c>
      <c r="B293">
        <v>12</v>
      </c>
      <c r="C293">
        <v>14</v>
      </c>
      <c r="D293">
        <v>12</v>
      </c>
      <c r="E293">
        <v>10</v>
      </c>
      <c r="F293">
        <v>14</v>
      </c>
      <c r="G293">
        <v>10</v>
      </c>
    </row>
    <row r="294" spans="1:7">
      <c r="A294" s="46" t="s">
        <v>7</v>
      </c>
      <c r="B294">
        <v>17.5</v>
      </c>
      <c r="C294">
        <v>16</v>
      </c>
      <c r="D294">
        <v>16</v>
      </c>
      <c r="E294">
        <v>16</v>
      </c>
      <c r="F294">
        <v>16</v>
      </c>
      <c r="G294">
        <v>16</v>
      </c>
    </row>
    <row r="295" spans="1:7">
      <c r="A295" s="46" t="s">
        <v>8</v>
      </c>
      <c r="B295">
        <v>15</v>
      </c>
      <c r="C295">
        <v>15</v>
      </c>
      <c r="D295">
        <v>15</v>
      </c>
      <c r="E295">
        <v>15</v>
      </c>
      <c r="F295">
        <v>15</v>
      </c>
      <c r="G295">
        <v>14</v>
      </c>
    </row>
    <row r="296" spans="1:7">
      <c r="A296" s="46" t="s">
        <v>9</v>
      </c>
      <c r="B296">
        <v>19</v>
      </c>
      <c r="C296">
        <v>20</v>
      </c>
      <c r="D296">
        <v>19</v>
      </c>
      <c r="E296">
        <v>19</v>
      </c>
      <c r="F296">
        <v>20</v>
      </c>
      <c r="G296">
        <v>19</v>
      </c>
    </row>
    <row r="297" spans="1:7">
      <c r="A297" s="46" t="s">
        <v>10</v>
      </c>
      <c r="B297">
        <v>13</v>
      </c>
      <c r="C297">
        <v>13</v>
      </c>
      <c r="D297">
        <v>13</v>
      </c>
      <c r="E297">
        <v>13</v>
      </c>
      <c r="F297">
        <v>13</v>
      </c>
      <c r="G297">
        <v>15</v>
      </c>
    </row>
    <row r="298" spans="1:7">
      <c r="A298" s="46" t="s">
        <v>11</v>
      </c>
      <c r="B298">
        <v>10.5</v>
      </c>
      <c r="C298">
        <v>10</v>
      </c>
      <c r="D298">
        <v>10</v>
      </c>
      <c r="E298">
        <v>12</v>
      </c>
      <c r="F298">
        <v>10</v>
      </c>
      <c r="G298">
        <v>12</v>
      </c>
    </row>
    <row r="299" spans="1:7">
      <c r="A299" s="46" t="s">
        <v>12</v>
      </c>
      <c r="B299">
        <v>14</v>
      </c>
      <c r="C299">
        <v>12</v>
      </c>
      <c r="D299">
        <v>14</v>
      </c>
      <c r="E299">
        <v>14</v>
      </c>
      <c r="F299">
        <v>12</v>
      </c>
      <c r="G299">
        <v>13</v>
      </c>
    </row>
    <row r="300" spans="1:7">
      <c r="A300" s="46" t="s">
        <v>13</v>
      </c>
      <c r="B300">
        <v>17.5</v>
      </c>
      <c r="C300">
        <v>17</v>
      </c>
      <c r="D300">
        <v>18</v>
      </c>
      <c r="E300">
        <v>18</v>
      </c>
      <c r="F300">
        <v>17</v>
      </c>
      <c r="G300">
        <v>18</v>
      </c>
    </row>
    <row r="301" spans="1:7">
      <c r="A301" s="46" t="s">
        <v>14</v>
      </c>
      <c r="B301">
        <v>7</v>
      </c>
      <c r="C301">
        <v>7</v>
      </c>
      <c r="D301">
        <v>7</v>
      </c>
      <c r="E301">
        <v>7</v>
      </c>
      <c r="F301">
        <v>7</v>
      </c>
      <c r="G301">
        <v>7</v>
      </c>
    </row>
    <row r="302" spans="1:7">
      <c r="A302" s="46" t="s">
        <v>15</v>
      </c>
      <c r="B302">
        <v>9</v>
      </c>
      <c r="C302">
        <v>8</v>
      </c>
      <c r="D302">
        <v>8</v>
      </c>
      <c r="E302">
        <v>8</v>
      </c>
      <c r="F302">
        <v>8</v>
      </c>
      <c r="G302">
        <v>8</v>
      </c>
    </row>
    <row r="303" spans="1:7">
      <c r="A303" s="46" t="s">
        <v>16</v>
      </c>
      <c r="B303">
        <v>5</v>
      </c>
      <c r="C303">
        <v>5</v>
      </c>
      <c r="D303">
        <v>5</v>
      </c>
      <c r="E303">
        <v>5</v>
      </c>
      <c r="F303">
        <v>5</v>
      </c>
      <c r="G303">
        <v>5</v>
      </c>
    </row>
    <row r="304" spans="1:7">
      <c r="A304" s="46" t="s">
        <v>17</v>
      </c>
      <c r="B304">
        <v>3</v>
      </c>
      <c r="C304">
        <v>2</v>
      </c>
      <c r="D304">
        <v>2</v>
      </c>
      <c r="E304">
        <v>2</v>
      </c>
      <c r="F304">
        <v>2</v>
      </c>
      <c r="G304">
        <v>2</v>
      </c>
    </row>
    <row r="305" spans="1:16">
      <c r="A305" s="46" t="s">
        <v>18</v>
      </c>
      <c r="B305">
        <v>4</v>
      </c>
      <c r="C305">
        <v>4</v>
      </c>
      <c r="D305">
        <v>4</v>
      </c>
      <c r="E305">
        <v>4</v>
      </c>
      <c r="F305">
        <v>4</v>
      </c>
      <c r="G305">
        <v>4</v>
      </c>
    </row>
    <row r="306" spans="1:16">
      <c r="A306" s="46" t="s">
        <v>19</v>
      </c>
      <c r="B306">
        <v>2</v>
      </c>
      <c r="C306">
        <v>3</v>
      </c>
      <c r="D306">
        <v>3</v>
      </c>
      <c r="E306">
        <v>3</v>
      </c>
      <c r="F306">
        <v>3</v>
      </c>
      <c r="G306">
        <v>3</v>
      </c>
    </row>
    <row r="307" spans="1:16">
      <c r="A307" s="46" t="s">
        <v>20</v>
      </c>
      <c r="B307">
        <v>1</v>
      </c>
      <c r="C307">
        <v>1</v>
      </c>
      <c r="D307">
        <v>1</v>
      </c>
      <c r="E307">
        <v>1</v>
      </c>
      <c r="F307">
        <v>1</v>
      </c>
      <c r="G307">
        <v>1</v>
      </c>
    </row>
    <row r="308" spans="1:16">
      <c r="A308" s="46" t="s">
        <v>21</v>
      </c>
      <c r="B308">
        <v>6</v>
      </c>
      <c r="C308">
        <v>6</v>
      </c>
      <c r="D308">
        <v>6</v>
      </c>
      <c r="E308">
        <v>6</v>
      </c>
      <c r="F308">
        <v>6</v>
      </c>
      <c r="G308">
        <v>6</v>
      </c>
    </row>
    <row r="310" spans="1:16" s="54" customFormat="1">
      <c r="A310" s="53" t="s">
        <v>218</v>
      </c>
    </row>
    <row r="311" spans="1:16">
      <c r="A311" s="2" t="s">
        <v>186</v>
      </c>
      <c r="B311" s="2" t="s">
        <v>187</v>
      </c>
      <c r="C311" s="2" t="s">
        <v>188</v>
      </c>
      <c r="D311" s="2" t="s">
        <v>189</v>
      </c>
      <c r="E311" s="2" t="s">
        <v>190</v>
      </c>
      <c r="F311" s="2" t="s">
        <v>191</v>
      </c>
      <c r="G311" s="2" t="s">
        <v>192</v>
      </c>
      <c r="H311" s="2" t="s">
        <v>193</v>
      </c>
      <c r="I311" s="2" t="s">
        <v>194</v>
      </c>
      <c r="J311" s="2" t="s">
        <v>195</v>
      </c>
      <c r="K311" s="2" t="s">
        <v>196</v>
      </c>
      <c r="L311" s="2" t="s">
        <v>197</v>
      </c>
      <c r="M311" s="2" t="s">
        <v>198</v>
      </c>
      <c r="N311" s="2" t="s">
        <v>199</v>
      </c>
      <c r="O311" s="2" t="s">
        <v>200</v>
      </c>
      <c r="P311" s="2" t="s">
        <v>201</v>
      </c>
    </row>
    <row r="312" spans="1:16">
      <c r="A312" s="46" t="s">
        <v>0</v>
      </c>
      <c r="B312">
        <f t="shared" ref="B312:B331" si="73">(B289-C289)^2</f>
        <v>0.25</v>
      </c>
      <c r="C312">
        <f t="shared" ref="C312:C331" si="74">(B289-D289)^2</f>
        <v>0.25</v>
      </c>
      <c r="D312">
        <f t="shared" ref="D312:D331" si="75">(B289-E289)^2</f>
        <v>0.25</v>
      </c>
      <c r="E312">
        <f t="shared" ref="E312:E331" si="76">(B289-F289)^2</f>
        <v>0.25</v>
      </c>
      <c r="F312">
        <f t="shared" ref="F312:F331" si="77">(B289-F289)^2</f>
        <v>0.25</v>
      </c>
      <c r="G312">
        <f t="shared" ref="G312:G331" si="78">(C289-D289)^2</f>
        <v>0</v>
      </c>
      <c r="H312">
        <f t="shared" ref="H312:H331" si="79">(C289-E289)^2</f>
        <v>0</v>
      </c>
      <c r="I312">
        <f t="shared" ref="I312:I331" si="80">(C289-F289)^2</f>
        <v>0</v>
      </c>
      <c r="J312">
        <f t="shared" ref="J312:J331" si="81">(C289-G289)^2</f>
        <v>0</v>
      </c>
      <c r="K312">
        <f t="shared" ref="K312:K331" si="82">(D289-E289)^2</f>
        <v>0</v>
      </c>
      <c r="L312">
        <f t="shared" ref="L312:L331" si="83">(D289-F289)^2</f>
        <v>0</v>
      </c>
      <c r="M312">
        <f t="shared" ref="M312:M331" si="84">(D289-G289)^2</f>
        <v>0</v>
      </c>
      <c r="N312">
        <f t="shared" ref="N312:N331" si="85">(E289-F289)^2</f>
        <v>0</v>
      </c>
      <c r="O312">
        <f t="shared" ref="O312:O331" si="86">(E289-G289)^2</f>
        <v>0</v>
      </c>
      <c r="P312">
        <f t="shared" ref="P312:P331" si="87">(F289-G289)^2</f>
        <v>0</v>
      </c>
    </row>
    <row r="313" spans="1:16">
      <c r="A313" s="46" t="s">
        <v>87</v>
      </c>
      <c r="B313">
        <f t="shared" si="73"/>
        <v>4</v>
      </c>
      <c r="C313">
        <f t="shared" si="74"/>
        <v>1</v>
      </c>
      <c r="D313">
        <f t="shared" si="75"/>
        <v>1</v>
      </c>
      <c r="E313">
        <f t="shared" si="76"/>
        <v>4</v>
      </c>
      <c r="F313">
        <f t="shared" si="77"/>
        <v>4</v>
      </c>
      <c r="G313">
        <f t="shared" si="78"/>
        <v>1</v>
      </c>
      <c r="H313">
        <f t="shared" si="79"/>
        <v>1</v>
      </c>
      <c r="I313">
        <f t="shared" si="80"/>
        <v>0</v>
      </c>
      <c r="J313">
        <f t="shared" si="81"/>
        <v>1</v>
      </c>
      <c r="K313">
        <f t="shared" si="82"/>
        <v>0</v>
      </c>
      <c r="L313">
        <f t="shared" si="83"/>
        <v>1</v>
      </c>
      <c r="M313">
        <f t="shared" si="84"/>
        <v>0</v>
      </c>
      <c r="N313">
        <f t="shared" si="85"/>
        <v>1</v>
      </c>
      <c r="O313">
        <f t="shared" si="86"/>
        <v>0</v>
      </c>
      <c r="P313">
        <f t="shared" si="87"/>
        <v>1</v>
      </c>
    </row>
    <row r="314" spans="1:16">
      <c r="A314" s="46" t="s">
        <v>2</v>
      </c>
      <c r="B314">
        <f t="shared" si="73"/>
        <v>1</v>
      </c>
      <c r="C314">
        <f t="shared" si="74"/>
        <v>1</v>
      </c>
      <c r="D314">
        <f t="shared" si="75"/>
        <v>1</v>
      </c>
      <c r="E314">
        <f t="shared" si="76"/>
        <v>1</v>
      </c>
      <c r="F314">
        <f t="shared" si="77"/>
        <v>1</v>
      </c>
      <c r="G314">
        <f t="shared" si="78"/>
        <v>0</v>
      </c>
      <c r="H314">
        <f t="shared" si="79"/>
        <v>0</v>
      </c>
      <c r="I314">
        <f t="shared" si="80"/>
        <v>0</v>
      </c>
      <c r="J314">
        <f t="shared" si="81"/>
        <v>0</v>
      </c>
      <c r="K314">
        <f t="shared" si="82"/>
        <v>0</v>
      </c>
      <c r="L314">
        <f t="shared" si="83"/>
        <v>0</v>
      </c>
      <c r="M314">
        <f t="shared" si="84"/>
        <v>0</v>
      </c>
      <c r="N314">
        <f t="shared" si="85"/>
        <v>0</v>
      </c>
      <c r="O314">
        <f t="shared" si="86"/>
        <v>0</v>
      </c>
      <c r="P314">
        <f t="shared" si="87"/>
        <v>0</v>
      </c>
    </row>
    <row r="315" spans="1:16">
      <c r="A315" s="46" t="s">
        <v>3</v>
      </c>
      <c r="B315">
        <f t="shared" si="73"/>
        <v>1</v>
      </c>
      <c r="C315">
        <f t="shared" si="74"/>
        <v>0</v>
      </c>
      <c r="D315">
        <f t="shared" si="75"/>
        <v>0</v>
      </c>
      <c r="E315">
        <f t="shared" si="76"/>
        <v>1</v>
      </c>
      <c r="F315">
        <f t="shared" si="77"/>
        <v>1</v>
      </c>
      <c r="G315">
        <f t="shared" si="78"/>
        <v>1</v>
      </c>
      <c r="H315">
        <f t="shared" si="79"/>
        <v>1</v>
      </c>
      <c r="I315">
        <f t="shared" si="80"/>
        <v>0</v>
      </c>
      <c r="J315">
        <f t="shared" si="81"/>
        <v>1</v>
      </c>
      <c r="K315">
        <f t="shared" si="82"/>
        <v>0</v>
      </c>
      <c r="L315">
        <f t="shared" si="83"/>
        <v>1</v>
      </c>
      <c r="M315">
        <f t="shared" si="84"/>
        <v>0</v>
      </c>
      <c r="N315">
        <f t="shared" si="85"/>
        <v>1</v>
      </c>
      <c r="O315">
        <f t="shared" si="86"/>
        <v>0</v>
      </c>
      <c r="P315">
        <f t="shared" si="87"/>
        <v>1</v>
      </c>
    </row>
    <row r="316" spans="1:16">
      <c r="A316" s="46" t="s">
        <v>4</v>
      </c>
      <c r="B316">
        <f t="shared" si="73"/>
        <v>4</v>
      </c>
      <c r="C316">
        <f t="shared" si="74"/>
        <v>0</v>
      </c>
      <c r="D316">
        <f t="shared" si="75"/>
        <v>4</v>
      </c>
      <c r="E316">
        <f t="shared" si="76"/>
        <v>4</v>
      </c>
      <c r="F316">
        <f t="shared" si="77"/>
        <v>4</v>
      </c>
      <c r="G316">
        <f t="shared" si="78"/>
        <v>4</v>
      </c>
      <c r="H316">
        <f t="shared" si="79"/>
        <v>16</v>
      </c>
      <c r="I316">
        <f t="shared" si="80"/>
        <v>0</v>
      </c>
      <c r="J316">
        <f t="shared" si="81"/>
        <v>16</v>
      </c>
      <c r="K316">
        <f t="shared" si="82"/>
        <v>4</v>
      </c>
      <c r="L316">
        <f t="shared" si="83"/>
        <v>4</v>
      </c>
      <c r="M316">
        <f t="shared" si="84"/>
        <v>4</v>
      </c>
      <c r="N316">
        <f t="shared" si="85"/>
        <v>16</v>
      </c>
      <c r="O316">
        <f t="shared" si="86"/>
        <v>0</v>
      </c>
      <c r="P316">
        <f t="shared" si="87"/>
        <v>16</v>
      </c>
    </row>
    <row r="317" spans="1:16">
      <c r="A317" s="46" t="s">
        <v>7</v>
      </c>
      <c r="B317">
        <f t="shared" si="73"/>
        <v>2.25</v>
      </c>
      <c r="C317">
        <f t="shared" si="74"/>
        <v>2.25</v>
      </c>
      <c r="D317">
        <f t="shared" si="75"/>
        <v>2.25</v>
      </c>
      <c r="E317">
        <f t="shared" si="76"/>
        <v>2.25</v>
      </c>
      <c r="F317">
        <f t="shared" si="77"/>
        <v>2.25</v>
      </c>
      <c r="G317">
        <f t="shared" si="78"/>
        <v>0</v>
      </c>
      <c r="H317">
        <f t="shared" si="79"/>
        <v>0</v>
      </c>
      <c r="I317">
        <f t="shared" si="80"/>
        <v>0</v>
      </c>
      <c r="J317">
        <f t="shared" si="81"/>
        <v>0</v>
      </c>
      <c r="K317">
        <f t="shared" si="82"/>
        <v>0</v>
      </c>
      <c r="L317">
        <f t="shared" si="83"/>
        <v>0</v>
      </c>
      <c r="M317">
        <f t="shared" si="84"/>
        <v>0</v>
      </c>
      <c r="N317">
        <f t="shared" si="85"/>
        <v>0</v>
      </c>
      <c r="O317">
        <f t="shared" si="86"/>
        <v>0</v>
      </c>
      <c r="P317">
        <f t="shared" si="87"/>
        <v>0</v>
      </c>
    </row>
    <row r="318" spans="1:16">
      <c r="A318" s="46" t="s">
        <v>8</v>
      </c>
      <c r="B318">
        <f t="shared" si="73"/>
        <v>0</v>
      </c>
      <c r="C318">
        <f t="shared" si="74"/>
        <v>0</v>
      </c>
      <c r="D318">
        <f t="shared" si="75"/>
        <v>0</v>
      </c>
      <c r="E318">
        <f t="shared" si="76"/>
        <v>0</v>
      </c>
      <c r="F318">
        <f t="shared" si="77"/>
        <v>0</v>
      </c>
      <c r="G318">
        <f t="shared" si="78"/>
        <v>0</v>
      </c>
      <c r="H318">
        <f t="shared" si="79"/>
        <v>0</v>
      </c>
      <c r="I318">
        <f t="shared" si="80"/>
        <v>0</v>
      </c>
      <c r="J318">
        <f t="shared" si="81"/>
        <v>1</v>
      </c>
      <c r="K318">
        <f t="shared" si="82"/>
        <v>0</v>
      </c>
      <c r="L318">
        <f t="shared" si="83"/>
        <v>0</v>
      </c>
      <c r="M318">
        <f t="shared" si="84"/>
        <v>1</v>
      </c>
      <c r="N318">
        <f t="shared" si="85"/>
        <v>0</v>
      </c>
      <c r="O318">
        <f t="shared" si="86"/>
        <v>1</v>
      </c>
      <c r="P318">
        <f t="shared" si="87"/>
        <v>1</v>
      </c>
    </row>
    <row r="319" spans="1:16">
      <c r="A319" s="46" t="s">
        <v>9</v>
      </c>
      <c r="B319">
        <f t="shared" si="73"/>
        <v>1</v>
      </c>
      <c r="C319">
        <f t="shared" si="74"/>
        <v>0</v>
      </c>
      <c r="D319">
        <f t="shared" si="75"/>
        <v>0</v>
      </c>
      <c r="E319">
        <f t="shared" si="76"/>
        <v>1</v>
      </c>
      <c r="F319">
        <f t="shared" si="77"/>
        <v>1</v>
      </c>
      <c r="G319">
        <f t="shared" si="78"/>
        <v>1</v>
      </c>
      <c r="H319">
        <f t="shared" si="79"/>
        <v>1</v>
      </c>
      <c r="I319">
        <f t="shared" si="80"/>
        <v>0</v>
      </c>
      <c r="J319">
        <f t="shared" si="81"/>
        <v>1</v>
      </c>
      <c r="K319">
        <f t="shared" si="82"/>
        <v>0</v>
      </c>
      <c r="L319">
        <f t="shared" si="83"/>
        <v>1</v>
      </c>
      <c r="M319">
        <f t="shared" si="84"/>
        <v>0</v>
      </c>
      <c r="N319">
        <f t="shared" si="85"/>
        <v>1</v>
      </c>
      <c r="O319">
        <f t="shared" si="86"/>
        <v>0</v>
      </c>
      <c r="P319">
        <f t="shared" si="87"/>
        <v>1</v>
      </c>
    </row>
    <row r="320" spans="1:16">
      <c r="A320" s="46" t="s">
        <v>10</v>
      </c>
      <c r="B320">
        <f t="shared" si="73"/>
        <v>0</v>
      </c>
      <c r="C320">
        <f t="shared" si="74"/>
        <v>0</v>
      </c>
      <c r="D320">
        <f t="shared" si="75"/>
        <v>0</v>
      </c>
      <c r="E320">
        <f t="shared" si="76"/>
        <v>0</v>
      </c>
      <c r="F320">
        <f t="shared" si="77"/>
        <v>0</v>
      </c>
      <c r="G320">
        <f t="shared" si="78"/>
        <v>0</v>
      </c>
      <c r="H320">
        <f t="shared" si="79"/>
        <v>0</v>
      </c>
      <c r="I320">
        <f t="shared" si="80"/>
        <v>0</v>
      </c>
      <c r="J320">
        <f t="shared" si="81"/>
        <v>4</v>
      </c>
      <c r="K320">
        <f t="shared" si="82"/>
        <v>0</v>
      </c>
      <c r="L320">
        <f t="shared" si="83"/>
        <v>0</v>
      </c>
      <c r="M320">
        <f t="shared" si="84"/>
        <v>4</v>
      </c>
      <c r="N320">
        <f t="shared" si="85"/>
        <v>0</v>
      </c>
      <c r="O320">
        <f t="shared" si="86"/>
        <v>4</v>
      </c>
      <c r="P320">
        <f t="shared" si="87"/>
        <v>4</v>
      </c>
    </row>
    <row r="321" spans="1:16">
      <c r="A321" s="46" t="s">
        <v>11</v>
      </c>
      <c r="B321">
        <f t="shared" si="73"/>
        <v>0.25</v>
      </c>
      <c r="C321">
        <f t="shared" si="74"/>
        <v>0.25</v>
      </c>
      <c r="D321">
        <f t="shared" si="75"/>
        <v>2.25</v>
      </c>
      <c r="E321">
        <f t="shared" si="76"/>
        <v>0.25</v>
      </c>
      <c r="F321">
        <f t="shared" si="77"/>
        <v>0.25</v>
      </c>
      <c r="G321">
        <f t="shared" si="78"/>
        <v>0</v>
      </c>
      <c r="H321">
        <f t="shared" si="79"/>
        <v>4</v>
      </c>
      <c r="I321">
        <f t="shared" si="80"/>
        <v>0</v>
      </c>
      <c r="J321">
        <f t="shared" si="81"/>
        <v>4</v>
      </c>
      <c r="K321">
        <f t="shared" si="82"/>
        <v>4</v>
      </c>
      <c r="L321">
        <f t="shared" si="83"/>
        <v>0</v>
      </c>
      <c r="M321">
        <f t="shared" si="84"/>
        <v>4</v>
      </c>
      <c r="N321">
        <f t="shared" si="85"/>
        <v>4</v>
      </c>
      <c r="O321">
        <f t="shared" si="86"/>
        <v>0</v>
      </c>
      <c r="P321">
        <f t="shared" si="87"/>
        <v>4</v>
      </c>
    </row>
    <row r="322" spans="1:16">
      <c r="A322" s="46" t="s">
        <v>12</v>
      </c>
      <c r="B322">
        <f t="shared" si="73"/>
        <v>4</v>
      </c>
      <c r="C322">
        <f t="shared" si="74"/>
        <v>0</v>
      </c>
      <c r="D322">
        <f t="shared" si="75"/>
        <v>0</v>
      </c>
      <c r="E322">
        <f t="shared" si="76"/>
        <v>4</v>
      </c>
      <c r="F322">
        <f t="shared" si="77"/>
        <v>4</v>
      </c>
      <c r="G322">
        <f t="shared" si="78"/>
        <v>4</v>
      </c>
      <c r="H322">
        <f t="shared" si="79"/>
        <v>4</v>
      </c>
      <c r="I322">
        <f t="shared" si="80"/>
        <v>0</v>
      </c>
      <c r="J322">
        <f t="shared" si="81"/>
        <v>1</v>
      </c>
      <c r="K322">
        <f t="shared" si="82"/>
        <v>0</v>
      </c>
      <c r="L322">
        <f t="shared" si="83"/>
        <v>4</v>
      </c>
      <c r="M322">
        <f t="shared" si="84"/>
        <v>1</v>
      </c>
      <c r="N322">
        <f t="shared" si="85"/>
        <v>4</v>
      </c>
      <c r="O322">
        <f t="shared" si="86"/>
        <v>1</v>
      </c>
      <c r="P322">
        <f t="shared" si="87"/>
        <v>1</v>
      </c>
    </row>
    <row r="323" spans="1:16">
      <c r="A323" s="46" t="s">
        <v>13</v>
      </c>
      <c r="B323">
        <f t="shared" si="73"/>
        <v>0.25</v>
      </c>
      <c r="C323">
        <f t="shared" si="74"/>
        <v>0.25</v>
      </c>
      <c r="D323">
        <f t="shared" si="75"/>
        <v>0.25</v>
      </c>
      <c r="E323">
        <f t="shared" si="76"/>
        <v>0.25</v>
      </c>
      <c r="F323">
        <f t="shared" si="77"/>
        <v>0.25</v>
      </c>
      <c r="G323">
        <f t="shared" si="78"/>
        <v>1</v>
      </c>
      <c r="H323">
        <f t="shared" si="79"/>
        <v>1</v>
      </c>
      <c r="I323">
        <f t="shared" si="80"/>
        <v>0</v>
      </c>
      <c r="J323">
        <f t="shared" si="81"/>
        <v>1</v>
      </c>
      <c r="K323">
        <f t="shared" si="82"/>
        <v>0</v>
      </c>
      <c r="L323">
        <f t="shared" si="83"/>
        <v>1</v>
      </c>
      <c r="M323">
        <f t="shared" si="84"/>
        <v>0</v>
      </c>
      <c r="N323">
        <f t="shared" si="85"/>
        <v>1</v>
      </c>
      <c r="O323">
        <f t="shared" si="86"/>
        <v>0</v>
      </c>
      <c r="P323">
        <f t="shared" si="87"/>
        <v>1</v>
      </c>
    </row>
    <row r="324" spans="1:16">
      <c r="A324" s="46" t="s">
        <v>14</v>
      </c>
      <c r="B324">
        <f t="shared" si="73"/>
        <v>0</v>
      </c>
      <c r="C324">
        <f t="shared" si="74"/>
        <v>0</v>
      </c>
      <c r="D324">
        <f t="shared" si="75"/>
        <v>0</v>
      </c>
      <c r="E324">
        <f t="shared" si="76"/>
        <v>0</v>
      </c>
      <c r="F324">
        <f t="shared" si="77"/>
        <v>0</v>
      </c>
      <c r="G324">
        <f t="shared" si="78"/>
        <v>0</v>
      </c>
      <c r="H324">
        <f t="shared" si="79"/>
        <v>0</v>
      </c>
      <c r="I324">
        <f t="shared" si="80"/>
        <v>0</v>
      </c>
      <c r="J324">
        <f t="shared" si="81"/>
        <v>0</v>
      </c>
      <c r="K324">
        <f t="shared" si="82"/>
        <v>0</v>
      </c>
      <c r="L324">
        <f t="shared" si="83"/>
        <v>0</v>
      </c>
      <c r="M324">
        <f t="shared" si="84"/>
        <v>0</v>
      </c>
      <c r="N324">
        <f t="shared" si="85"/>
        <v>0</v>
      </c>
      <c r="O324">
        <f t="shared" si="86"/>
        <v>0</v>
      </c>
      <c r="P324">
        <f t="shared" si="87"/>
        <v>0</v>
      </c>
    </row>
    <row r="325" spans="1:16">
      <c r="A325" s="46" t="s">
        <v>15</v>
      </c>
      <c r="B325">
        <f t="shared" si="73"/>
        <v>1</v>
      </c>
      <c r="C325">
        <f t="shared" si="74"/>
        <v>1</v>
      </c>
      <c r="D325">
        <f t="shared" si="75"/>
        <v>1</v>
      </c>
      <c r="E325">
        <f t="shared" si="76"/>
        <v>1</v>
      </c>
      <c r="F325">
        <f t="shared" si="77"/>
        <v>1</v>
      </c>
      <c r="G325">
        <f t="shared" si="78"/>
        <v>0</v>
      </c>
      <c r="H325">
        <f t="shared" si="79"/>
        <v>0</v>
      </c>
      <c r="I325">
        <f t="shared" si="80"/>
        <v>0</v>
      </c>
      <c r="J325">
        <f t="shared" si="81"/>
        <v>0</v>
      </c>
      <c r="K325">
        <f t="shared" si="82"/>
        <v>0</v>
      </c>
      <c r="L325">
        <f t="shared" si="83"/>
        <v>0</v>
      </c>
      <c r="M325">
        <f t="shared" si="84"/>
        <v>0</v>
      </c>
      <c r="N325">
        <f t="shared" si="85"/>
        <v>0</v>
      </c>
      <c r="O325">
        <f t="shared" si="86"/>
        <v>0</v>
      </c>
      <c r="P325">
        <f t="shared" si="87"/>
        <v>0</v>
      </c>
    </row>
    <row r="326" spans="1:16">
      <c r="A326" s="46" t="s">
        <v>16</v>
      </c>
      <c r="B326">
        <f t="shared" si="73"/>
        <v>0</v>
      </c>
      <c r="C326">
        <f t="shared" si="74"/>
        <v>0</v>
      </c>
      <c r="D326">
        <f t="shared" si="75"/>
        <v>0</v>
      </c>
      <c r="E326">
        <f t="shared" si="76"/>
        <v>0</v>
      </c>
      <c r="F326">
        <f t="shared" si="77"/>
        <v>0</v>
      </c>
      <c r="G326">
        <f t="shared" si="78"/>
        <v>0</v>
      </c>
      <c r="H326">
        <f t="shared" si="79"/>
        <v>0</v>
      </c>
      <c r="I326">
        <f t="shared" si="80"/>
        <v>0</v>
      </c>
      <c r="J326">
        <f t="shared" si="81"/>
        <v>0</v>
      </c>
      <c r="K326">
        <f t="shared" si="82"/>
        <v>0</v>
      </c>
      <c r="L326">
        <f t="shared" si="83"/>
        <v>0</v>
      </c>
      <c r="M326">
        <f t="shared" si="84"/>
        <v>0</v>
      </c>
      <c r="N326">
        <f t="shared" si="85"/>
        <v>0</v>
      </c>
      <c r="O326">
        <f t="shared" si="86"/>
        <v>0</v>
      </c>
      <c r="P326">
        <f t="shared" si="87"/>
        <v>0</v>
      </c>
    </row>
    <row r="327" spans="1:16">
      <c r="A327" s="46" t="s">
        <v>17</v>
      </c>
      <c r="B327">
        <f t="shared" si="73"/>
        <v>1</v>
      </c>
      <c r="C327">
        <f t="shared" si="74"/>
        <v>1</v>
      </c>
      <c r="D327">
        <f t="shared" si="75"/>
        <v>1</v>
      </c>
      <c r="E327">
        <f t="shared" si="76"/>
        <v>1</v>
      </c>
      <c r="F327">
        <f t="shared" si="77"/>
        <v>1</v>
      </c>
      <c r="G327">
        <f t="shared" si="78"/>
        <v>0</v>
      </c>
      <c r="H327">
        <f t="shared" si="79"/>
        <v>0</v>
      </c>
      <c r="I327">
        <f t="shared" si="80"/>
        <v>0</v>
      </c>
      <c r="J327">
        <f t="shared" si="81"/>
        <v>0</v>
      </c>
      <c r="K327">
        <f t="shared" si="82"/>
        <v>0</v>
      </c>
      <c r="L327">
        <f t="shared" si="83"/>
        <v>0</v>
      </c>
      <c r="M327">
        <f t="shared" si="84"/>
        <v>0</v>
      </c>
      <c r="N327">
        <f t="shared" si="85"/>
        <v>0</v>
      </c>
      <c r="O327">
        <f t="shared" si="86"/>
        <v>0</v>
      </c>
      <c r="P327">
        <f t="shared" si="87"/>
        <v>0</v>
      </c>
    </row>
    <row r="328" spans="1:16">
      <c r="A328" s="46" t="s">
        <v>18</v>
      </c>
      <c r="B328">
        <f t="shared" si="73"/>
        <v>0</v>
      </c>
      <c r="C328">
        <f t="shared" si="74"/>
        <v>0</v>
      </c>
      <c r="D328">
        <f t="shared" si="75"/>
        <v>0</v>
      </c>
      <c r="E328">
        <f t="shared" si="76"/>
        <v>0</v>
      </c>
      <c r="F328">
        <f t="shared" si="77"/>
        <v>0</v>
      </c>
      <c r="G328">
        <f t="shared" si="78"/>
        <v>0</v>
      </c>
      <c r="H328">
        <f t="shared" si="79"/>
        <v>0</v>
      </c>
      <c r="I328">
        <f t="shared" si="80"/>
        <v>0</v>
      </c>
      <c r="J328">
        <f t="shared" si="81"/>
        <v>0</v>
      </c>
      <c r="K328">
        <f t="shared" si="82"/>
        <v>0</v>
      </c>
      <c r="L328">
        <f t="shared" si="83"/>
        <v>0</v>
      </c>
      <c r="M328">
        <f t="shared" si="84"/>
        <v>0</v>
      </c>
      <c r="N328">
        <f t="shared" si="85"/>
        <v>0</v>
      </c>
      <c r="O328">
        <f t="shared" si="86"/>
        <v>0</v>
      </c>
      <c r="P328">
        <f t="shared" si="87"/>
        <v>0</v>
      </c>
    </row>
    <row r="329" spans="1:16">
      <c r="A329" s="46" t="s">
        <v>19</v>
      </c>
      <c r="B329">
        <f t="shared" si="73"/>
        <v>1</v>
      </c>
      <c r="C329">
        <f t="shared" si="74"/>
        <v>1</v>
      </c>
      <c r="D329">
        <f t="shared" si="75"/>
        <v>1</v>
      </c>
      <c r="E329">
        <f t="shared" si="76"/>
        <v>1</v>
      </c>
      <c r="F329">
        <f t="shared" si="77"/>
        <v>1</v>
      </c>
      <c r="G329">
        <f t="shared" si="78"/>
        <v>0</v>
      </c>
      <c r="H329">
        <f t="shared" si="79"/>
        <v>0</v>
      </c>
      <c r="I329">
        <f t="shared" si="80"/>
        <v>0</v>
      </c>
      <c r="J329">
        <f t="shared" si="81"/>
        <v>0</v>
      </c>
      <c r="K329">
        <f t="shared" si="82"/>
        <v>0</v>
      </c>
      <c r="L329">
        <f t="shared" si="83"/>
        <v>0</v>
      </c>
      <c r="M329">
        <f t="shared" si="84"/>
        <v>0</v>
      </c>
      <c r="N329">
        <f t="shared" si="85"/>
        <v>0</v>
      </c>
      <c r="O329">
        <f t="shared" si="86"/>
        <v>0</v>
      </c>
      <c r="P329">
        <f t="shared" si="87"/>
        <v>0</v>
      </c>
    </row>
    <row r="330" spans="1:16">
      <c r="A330" s="46" t="s">
        <v>20</v>
      </c>
      <c r="B330">
        <f t="shared" si="73"/>
        <v>0</v>
      </c>
      <c r="C330">
        <f t="shared" si="74"/>
        <v>0</v>
      </c>
      <c r="D330">
        <f t="shared" si="75"/>
        <v>0</v>
      </c>
      <c r="E330">
        <f t="shared" si="76"/>
        <v>0</v>
      </c>
      <c r="F330">
        <f t="shared" si="77"/>
        <v>0</v>
      </c>
      <c r="G330">
        <f t="shared" si="78"/>
        <v>0</v>
      </c>
      <c r="H330">
        <f t="shared" si="79"/>
        <v>0</v>
      </c>
      <c r="I330">
        <f t="shared" si="80"/>
        <v>0</v>
      </c>
      <c r="J330">
        <f t="shared" si="81"/>
        <v>0</v>
      </c>
      <c r="K330">
        <f t="shared" si="82"/>
        <v>0</v>
      </c>
      <c r="L330">
        <f t="shared" si="83"/>
        <v>0</v>
      </c>
      <c r="M330">
        <f t="shared" si="84"/>
        <v>0</v>
      </c>
      <c r="N330">
        <f t="shared" si="85"/>
        <v>0</v>
      </c>
      <c r="O330">
        <f t="shared" si="86"/>
        <v>0</v>
      </c>
      <c r="P330">
        <f t="shared" si="87"/>
        <v>0</v>
      </c>
    </row>
    <row r="331" spans="1:16">
      <c r="A331" s="46" t="s">
        <v>21</v>
      </c>
      <c r="B331">
        <f t="shared" si="73"/>
        <v>0</v>
      </c>
      <c r="C331">
        <f t="shared" si="74"/>
        <v>0</v>
      </c>
      <c r="D331">
        <f t="shared" si="75"/>
        <v>0</v>
      </c>
      <c r="E331">
        <f t="shared" si="76"/>
        <v>0</v>
      </c>
      <c r="F331">
        <f t="shared" si="77"/>
        <v>0</v>
      </c>
      <c r="G331">
        <f t="shared" si="78"/>
        <v>0</v>
      </c>
      <c r="H331">
        <f t="shared" si="79"/>
        <v>0</v>
      </c>
      <c r="I331">
        <f t="shared" si="80"/>
        <v>0</v>
      </c>
      <c r="J331">
        <f t="shared" si="81"/>
        <v>0</v>
      </c>
      <c r="K331">
        <f t="shared" si="82"/>
        <v>0</v>
      </c>
      <c r="L331">
        <f t="shared" si="83"/>
        <v>0</v>
      </c>
      <c r="M331">
        <f t="shared" si="84"/>
        <v>0</v>
      </c>
      <c r="N331">
        <f t="shared" si="85"/>
        <v>0</v>
      </c>
      <c r="O331">
        <f t="shared" si="86"/>
        <v>0</v>
      </c>
      <c r="P331">
        <f t="shared" si="87"/>
        <v>0</v>
      </c>
    </row>
    <row r="332" spans="1:16">
      <c r="A332" s="46"/>
    </row>
    <row r="333" spans="1:16">
      <c r="A333" s="66" t="s">
        <v>221</v>
      </c>
      <c r="B333" s="55"/>
      <c r="C333" s="55"/>
    </row>
    <row r="334" spans="1:16">
      <c r="B334" t="s">
        <v>163</v>
      </c>
      <c r="C334" t="s">
        <v>152</v>
      </c>
      <c r="D334" t="s">
        <v>158</v>
      </c>
      <c r="E334" t="s">
        <v>168</v>
      </c>
      <c r="F334" t="s">
        <v>155</v>
      </c>
      <c r="G334" t="s">
        <v>185</v>
      </c>
    </row>
    <row r="335" spans="1:16">
      <c r="A335" s="49" t="s">
        <v>163</v>
      </c>
      <c r="B335" s="49">
        <v>1</v>
      </c>
      <c r="C335" s="49">
        <f>1-(6*SUM(B312:B331)/(20*(20^2-1)))</f>
        <v>0.98421052631578942</v>
      </c>
      <c r="D335" s="49">
        <f>1-(6*SUM(C312:C331)/(20*(20^2-1)))</f>
        <v>0.99398496240601508</v>
      </c>
      <c r="E335" s="49">
        <f>1-(6*SUM(D312:D331)/(20*(20^2-1)))</f>
        <v>0.98947368421052628</v>
      </c>
      <c r="F335" s="49">
        <f>1-(6*SUM(E312:E331)/(20*(20^2-1)))</f>
        <v>0.98421052631578942</v>
      </c>
      <c r="G335" s="49">
        <f>1-(6*SUM(F312:F331)/(20*(20^2-1)))</f>
        <v>0.98421052631578942</v>
      </c>
      <c r="H335" s="49"/>
      <c r="I335" s="52" t="s">
        <v>219</v>
      </c>
      <c r="J335" s="49">
        <f>SUM(C335:G335, D336:G336, E337:G337,F338:G338,G339) /15</f>
        <v>0.98731829573934837</v>
      </c>
      <c r="K335" s="49"/>
    </row>
    <row r="336" spans="1:16">
      <c r="A336" s="49" t="s">
        <v>152</v>
      </c>
      <c r="B336" s="49"/>
      <c r="C336" s="49">
        <v>1</v>
      </c>
      <c r="D336" s="49">
        <f>1-(6*SUM(G312:G331)/(20*(20^2-1)))</f>
        <v>0.99097744360902251</v>
      </c>
      <c r="E336" s="49">
        <f>1-(6*SUM(H312:H331)/(20*(20^2-1)))</f>
        <v>0.97894736842105268</v>
      </c>
      <c r="F336" s="49">
        <f>1-(6*SUM(I312:I331)/(20*(20^2-1)))</f>
        <v>1</v>
      </c>
      <c r="G336" s="49">
        <f>1-(6*SUM(J312:J331)/(20*(20^2-1)))</f>
        <v>0.97744360902255645</v>
      </c>
      <c r="H336" s="49"/>
      <c r="I336" s="52" t="s">
        <v>220</v>
      </c>
      <c r="J336" s="49">
        <f>1/6+(5/6*J335)</f>
        <v>0.98943191311612366</v>
      </c>
      <c r="K336" s="49"/>
    </row>
    <row r="337" spans="1:11">
      <c r="A337" s="49" t="s">
        <v>158</v>
      </c>
      <c r="B337" s="49"/>
      <c r="C337" s="49"/>
      <c r="D337" s="49">
        <v>1</v>
      </c>
      <c r="E337" s="49">
        <f>1-(6*SUM(K312:K331)/(20*(20^2-1)))</f>
        <v>0.99398496240601508</v>
      </c>
      <c r="F337" s="49">
        <f>1-(6*SUM(L312:L331)/(20*(20^2-1)))</f>
        <v>0.99097744360902251</v>
      </c>
      <c r="G337" s="49">
        <f>1-(6*SUM(M312:M331)/(20*(20^2-1)))</f>
        <v>0.98947368421052628</v>
      </c>
      <c r="H337" s="49"/>
      <c r="I337" s="49"/>
      <c r="J337" s="49"/>
      <c r="K337" s="49"/>
    </row>
    <row r="338" spans="1:11">
      <c r="A338" s="49" t="s">
        <v>168</v>
      </c>
      <c r="B338" s="49"/>
      <c r="C338" s="49"/>
      <c r="D338" s="49"/>
      <c r="E338" s="49">
        <v>1</v>
      </c>
      <c r="F338" s="49">
        <f>1-(6*SUM(N312:N331)/(20*(20^2-1)))</f>
        <v>0.97894736842105268</v>
      </c>
      <c r="G338" s="49">
        <f>1-(6*SUM(O312:O331)/(20*(20^2-1)))</f>
        <v>0.99548872180451131</v>
      </c>
      <c r="H338" s="49"/>
      <c r="I338" s="49"/>
      <c r="J338" s="49"/>
      <c r="K338" s="49"/>
    </row>
    <row r="339" spans="1:11">
      <c r="A339" s="49" t="s">
        <v>155</v>
      </c>
      <c r="B339" s="49"/>
      <c r="C339" s="49"/>
      <c r="D339" s="49"/>
      <c r="E339" s="49"/>
      <c r="F339" s="49">
        <v>1</v>
      </c>
      <c r="G339" s="49">
        <f>1-(6*SUM(P312:P331)/(20*(20^2-1)))</f>
        <v>0.97744360902255645</v>
      </c>
      <c r="H339" s="49"/>
      <c r="I339" s="49"/>
      <c r="J339" s="49"/>
      <c r="K339" s="49"/>
    </row>
    <row r="340" spans="1:11" ht="16" customHeight="1">
      <c r="A340" s="49" t="s">
        <v>185</v>
      </c>
      <c r="B340" s="49"/>
      <c r="C340" s="49"/>
      <c r="D340" s="49"/>
      <c r="E340" s="49"/>
      <c r="F340" s="49"/>
      <c r="G340" s="49">
        <v>1</v>
      </c>
      <c r="H340" s="49"/>
      <c r="I340" s="49"/>
      <c r="J340" s="49"/>
      <c r="K340" s="49"/>
    </row>
    <row r="342" spans="1:11" s="56" customFormat="1"/>
    <row r="343" spans="1:11" s="56" customFormat="1" ht="14" customHeight="1">
      <c r="A343" s="58"/>
      <c r="B343" s="58"/>
      <c r="C343" s="58"/>
      <c r="D343" s="58"/>
      <c r="E343" s="58"/>
      <c r="F343" s="58"/>
      <c r="G343" s="58"/>
      <c r="H343" s="58"/>
    </row>
    <row r="344" spans="1:11" s="56" customFormat="1">
      <c r="A344" s="58"/>
      <c r="B344" s="58"/>
      <c r="C344" s="58"/>
      <c r="D344" s="58"/>
      <c r="E344" s="58"/>
      <c r="F344" s="58"/>
      <c r="G344" s="58"/>
      <c r="H344" s="58"/>
    </row>
    <row r="345" spans="1:11" s="56" customFormat="1">
      <c r="A345" s="58"/>
      <c r="B345" s="58"/>
      <c r="C345" s="58"/>
      <c r="D345" s="58"/>
      <c r="E345" s="58"/>
      <c r="F345" s="58"/>
      <c r="G345" s="58"/>
      <c r="H345" s="58"/>
    </row>
    <row r="346" spans="1:11" s="56" customFormat="1">
      <c r="A346" s="58"/>
      <c r="B346" s="58"/>
      <c r="C346" s="58"/>
      <c r="D346" s="58"/>
      <c r="E346" s="58"/>
      <c r="F346" s="58"/>
      <c r="G346" s="58"/>
      <c r="H346" s="58"/>
    </row>
    <row r="347" spans="1:11" s="56" customFormat="1">
      <c r="A347" s="58"/>
      <c r="B347" s="58"/>
      <c r="C347" s="58"/>
      <c r="D347" s="58"/>
      <c r="E347" s="58"/>
      <c r="F347" s="58"/>
      <c r="G347" s="58"/>
      <c r="H347" s="58"/>
    </row>
    <row r="348" spans="1:11" s="56" customFormat="1">
      <c r="A348" s="58"/>
      <c r="B348" s="58"/>
      <c r="C348" s="58"/>
      <c r="D348" s="58"/>
      <c r="E348" s="58"/>
      <c r="F348" s="58"/>
      <c r="G348" s="58"/>
      <c r="H348" s="58"/>
    </row>
    <row r="349" spans="1:11" s="56" customFormat="1">
      <c r="A349" s="58"/>
      <c r="B349" s="58"/>
      <c r="C349" s="58"/>
      <c r="D349" s="58"/>
      <c r="E349" s="58"/>
      <c r="F349" s="58"/>
      <c r="G349" s="58"/>
      <c r="H349" s="58"/>
    </row>
    <row r="350" spans="1:11" s="56" customFormat="1">
      <c r="A350" s="58"/>
      <c r="B350" s="58"/>
      <c r="C350" s="58"/>
      <c r="D350" s="58"/>
      <c r="E350" s="58"/>
      <c r="F350" s="58"/>
      <c r="G350" s="58"/>
      <c r="H350" s="58"/>
    </row>
    <row r="351" spans="1:11" s="56" customFormat="1">
      <c r="A351" s="58"/>
      <c r="B351" s="58"/>
      <c r="C351" s="58"/>
      <c r="D351" s="58"/>
      <c r="E351" s="58"/>
      <c r="F351" s="58"/>
      <c r="G351" s="58"/>
      <c r="H351" s="58"/>
    </row>
    <row r="352" spans="1:11" s="56" customFormat="1">
      <c r="A352" s="58"/>
      <c r="B352" s="58"/>
      <c r="C352" s="58"/>
      <c r="D352" s="58"/>
      <c r="E352" s="58"/>
      <c r="F352" s="58"/>
      <c r="G352" s="58"/>
      <c r="H352" s="58"/>
    </row>
    <row r="353" spans="1:13" s="56" customFormat="1">
      <c r="A353" s="58"/>
      <c r="B353" s="58"/>
      <c r="C353" s="58"/>
      <c r="D353" s="58"/>
      <c r="E353" s="58"/>
      <c r="F353" s="58"/>
      <c r="G353" s="58"/>
      <c r="H353" s="58"/>
    </row>
    <row r="354" spans="1:13" s="56" customFormat="1">
      <c r="A354" s="58"/>
      <c r="B354" s="58"/>
      <c r="C354" s="58"/>
      <c r="D354" s="58"/>
      <c r="E354" s="58"/>
      <c r="F354" s="58"/>
      <c r="G354" s="58"/>
      <c r="H354" s="58"/>
    </row>
    <row r="355" spans="1:13" s="56" customFormat="1">
      <c r="A355" s="58"/>
      <c r="B355" s="58"/>
      <c r="C355" s="58"/>
      <c r="D355" s="58"/>
      <c r="E355" s="58"/>
      <c r="F355" s="58"/>
      <c r="G355" s="58"/>
      <c r="H355" s="58"/>
    </row>
    <row r="356" spans="1:13" s="56" customFormat="1"/>
    <row r="357" spans="1:13" s="56" customFormat="1">
      <c r="A357" s="59"/>
      <c r="B357" s="57"/>
    </row>
    <row r="358" spans="1:13" s="56" customFormat="1" ht="14" customHeight="1">
      <c r="A358" s="58"/>
      <c r="B358" s="58"/>
      <c r="C358" s="58"/>
      <c r="D358" s="58"/>
      <c r="E358" s="58"/>
      <c r="F358" s="58"/>
      <c r="G358" s="58"/>
      <c r="H358" s="58"/>
      <c r="I358" s="58"/>
      <c r="J358" s="58"/>
      <c r="K358" s="58"/>
      <c r="M358" s="58"/>
    </row>
    <row r="359" spans="1:13" s="56" customFormat="1">
      <c r="A359" s="58"/>
      <c r="M359" s="58"/>
    </row>
    <row r="360" spans="1:13" s="56" customFormat="1">
      <c r="A360" s="58"/>
      <c r="M360" s="58"/>
    </row>
    <row r="361" spans="1:13" s="56" customFormat="1">
      <c r="A361" s="58"/>
      <c r="M361" s="58"/>
    </row>
    <row r="362" spans="1:13" s="56" customFormat="1">
      <c r="A362" s="58"/>
      <c r="M362" s="58"/>
    </row>
    <row r="363" spans="1:13" s="56" customFormat="1">
      <c r="A363" s="58"/>
      <c r="M363" s="58"/>
    </row>
    <row r="364" spans="1:13" s="56" customFormat="1">
      <c r="A364" s="58"/>
    </row>
    <row r="365" spans="1:13" s="56" customFormat="1">
      <c r="A365" s="59"/>
      <c r="B365" s="57"/>
      <c r="C365" s="57"/>
    </row>
    <row r="366" spans="1:13" s="56" customFormat="1">
      <c r="A366" s="58"/>
      <c r="B366" s="58"/>
      <c r="C366" s="58"/>
      <c r="D366" s="58"/>
      <c r="E366" s="58"/>
      <c r="F366" s="58"/>
      <c r="G366" s="58"/>
      <c r="H366" s="58"/>
      <c r="I366" s="58"/>
      <c r="J366" s="58"/>
      <c r="L366" s="58"/>
      <c r="M366" s="58"/>
    </row>
    <row r="367" spans="1:13" s="56" customFormat="1">
      <c r="A367" s="58"/>
      <c r="L367" s="58"/>
    </row>
    <row r="368" spans="1:13" s="56" customFormat="1">
      <c r="A368" s="58"/>
      <c r="L368" s="58"/>
    </row>
    <row r="369" spans="1:28" s="56" customFormat="1">
      <c r="A369" s="58"/>
      <c r="L369" s="58"/>
    </row>
    <row r="370" spans="1:28" s="56" customFormat="1">
      <c r="A370" s="58"/>
      <c r="L370" s="58"/>
    </row>
    <row r="371" spans="1:28" s="56" customFormat="1">
      <c r="A371" s="58"/>
      <c r="L371" s="58"/>
    </row>
    <row r="372" spans="1:28" s="56" customFormat="1"/>
    <row r="373" spans="1:28" s="56" customFormat="1">
      <c r="A373" s="59"/>
      <c r="B373" s="57"/>
      <c r="C373" s="57"/>
    </row>
    <row r="374" spans="1:28" s="56" customFormat="1">
      <c r="A374" s="58"/>
      <c r="B374" s="58"/>
      <c r="C374" s="58"/>
      <c r="D374" s="58"/>
      <c r="E374" s="58"/>
      <c r="F374" s="58"/>
      <c r="G374" s="58"/>
      <c r="H374" s="58"/>
      <c r="I374" s="58"/>
      <c r="J374" s="58"/>
      <c r="L374" s="58"/>
      <c r="M374" s="58"/>
    </row>
    <row r="375" spans="1:28" s="56" customFormat="1">
      <c r="A375" s="58"/>
      <c r="L375" s="58"/>
    </row>
    <row r="376" spans="1:28" s="56" customFormat="1">
      <c r="A376" s="58"/>
      <c r="L376" s="58"/>
    </row>
    <row r="377" spans="1:28" s="56" customFormat="1">
      <c r="A377" s="58"/>
      <c r="L377" s="58"/>
    </row>
    <row r="378" spans="1:28" s="56" customFormat="1">
      <c r="A378" s="58"/>
      <c r="L378" s="58"/>
    </row>
    <row r="379" spans="1:28" s="56" customFormat="1">
      <c r="A379" s="58"/>
      <c r="L379" s="58"/>
    </row>
    <row r="380" spans="1:28" s="56" customFormat="1"/>
    <row r="381" spans="1:28" s="56" customFormat="1">
      <c r="A381" s="57"/>
      <c r="B381" s="57"/>
      <c r="C381" s="57"/>
    </row>
    <row r="382" spans="1:28" s="56" customFormat="1">
      <c r="A382" s="58"/>
      <c r="B382" s="58"/>
      <c r="C382" s="58"/>
      <c r="D382" s="58"/>
      <c r="E382" s="58"/>
      <c r="F382" s="58"/>
      <c r="G382" s="58"/>
      <c r="H382" s="58"/>
      <c r="I382" s="60"/>
      <c r="J382" s="60"/>
      <c r="K382" s="60"/>
      <c r="L382" s="60"/>
      <c r="M382" s="60"/>
      <c r="N382" s="60"/>
      <c r="O382" s="60"/>
      <c r="P382" s="60"/>
      <c r="Q382" s="61"/>
      <c r="R382" s="60"/>
      <c r="S382" s="60"/>
      <c r="T382" s="60"/>
      <c r="U382" s="60"/>
      <c r="V382" s="60"/>
      <c r="W382" s="60"/>
      <c r="X382" s="60"/>
      <c r="AB382" s="58"/>
    </row>
    <row r="383" spans="1:28" s="56" customFormat="1">
      <c r="A383" s="58"/>
      <c r="I383" s="60"/>
      <c r="AB383" s="58"/>
    </row>
    <row r="384" spans="1:28" s="56" customFormat="1">
      <c r="A384" s="58"/>
      <c r="I384" s="60"/>
      <c r="AB384" s="58"/>
    </row>
    <row r="385" spans="1:28" s="56" customFormat="1">
      <c r="A385" s="58"/>
      <c r="I385" s="60"/>
      <c r="AB385" s="58"/>
    </row>
    <row r="386" spans="1:28" s="56" customFormat="1">
      <c r="A386" s="58"/>
      <c r="I386" s="60"/>
      <c r="AB386" s="58"/>
    </row>
    <row r="387" spans="1:28" s="56" customFormat="1">
      <c r="A387" s="58"/>
      <c r="I387" s="60"/>
      <c r="AB387" s="58"/>
    </row>
    <row r="388" spans="1:28" s="56" customFormat="1">
      <c r="A388" s="58"/>
      <c r="I388" s="60"/>
    </row>
    <row r="389" spans="1:28" s="56" customFormat="1">
      <c r="B389" s="57"/>
      <c r="C389" s="57"/>
      <c r="D389" s="57"/>
    </row>
    <row r="390" spans="1:28" s="56" customFormat="1">
      <c r="A390" s="59"/>
    </row>
    <row r="391" spans="1:28" s="56" customFormat="1">
      <c r="A391" s="58"/>
      <c r="B391" s="60"/>
      <c r="C391" s="60"/>
      <c r="D391" s="60"/>
      <c r="E391" s="60"/>
      <c r="F391" s="60"/>
      <c r="G391" s="60"/>
      <c r="H391" s="60"/>
      <c r="I391" s="60"/>
      <c r="J391" s="60"/>
      <c r="L391" s="58"/>
      <c r="M391" s="58"/>
    </row>
    <row r="392" spans="1:28" s="56" customFormat="1">
      <c r="A392" s="58"/>
      <c r="I392" s="60"/>
      <c r="L392" s="58"/>
    </row>
    <row r="393" spans="1:28" s="56" customFormat="1">
      <c r="A393" s="58"/>
      <c r="I393" s="60"/>
      <c r="L393" s="58"/>
    </row>
    <row r="394" spans="1:28" s="56" customFormat="1">
      <c r="A394" s="58"/>
      <c r="I394" s="60"/>
      <c r="L394" s="58"/>
    </row>
    <row r="395" spans="1:28" s="56" customFormat="1">
      <c r="A395" s="58"/>
      <c r="I395" s="60"/>
      <c r="L395" s="58"/>
    </row>
    <row r="396" spans="1:28" s="56" customFormat="1">
      <c r="A396" s="58"/>
      <c r="I396" s="60"/>
      <c r="L396" s="58"/>
    </row>
    <row r="397" spans="1:28" s="56" customFormat="1">
      <c r="I397" s="60"/>
    </row>
    <row r="398" spans="1:28" s="56" customFormat="1">
      <c r="A398" s="59"/>
      <c r="B398" s="57"/>
    </row>
    <row r="399" spans="1:28" s="56" customFormat="1">
      <c r="A399" s="58"/>
    </row>
    <row r="400" spans="1:28" s="56" customFormat="1">
      <c r="A400" s="58"/>
      <c r="I400" s="60"/>
    </row>
    <row r="401" spans="1:9" s="56" customFormat="1">
      <c r="A401" s="58"/>
      <c r="I401" s="60"/>
    </row>
    <row r="402" spans="1:9" s="56" customFormat="1">
      <c r="A402" s="58"/>
      <c r="I402" s="60"/>
    </row>
    <row r="403" spans="1:9" s="56" customFormat="1">
      <c r="A403" s="58"/>
      <c r="I403" s="60"/>
    </row>
    <row r="404" spans="1:9" s="56" customFormat="1">
      <c r="A404" s="58"/>
    </row>
    <row r="405" spans="1:9" s="56" customFormat="1"/>
    <row r="406" spans="1:9" s="56" customFormat="1">
      <c r="A406" s="59"/>
      <c r="B406" s="57"/>
    </row>
    <row r="407" spans="1:9" s="56" customFormat="1">
      <c r="A407" s="58"/>
      <c r="B407" s="58"/>
      <c r="C407" s="58"/>
      <c r="D407" s="58"/>
      <c r="E407" s="58"/>
      <c r="F407" s="58"/>
      <c r="G407" s="58"/>
      <c r="H407" s="58"/>
      <c r="I407" s="58"/>
    </row>
    <row r="408" spans="1:9" s="56" customFormat="1">
      <c r="A408" s="58"/>
    </row>
    <row r="409" spans="1:9" s="56" customFormat="1">
      <c r="A409" s="58"/>
    </row>
    <row r="410" spans="1:9" s="56" customFormat="1">
      <c r="A410" s="58"/>
    </row>
    <row r="411" spans="1:9" s="56" customFormat="1">
      <c r="A411" s="58"/>
    </row>
    <row r="412" spans="1:9" s="56" customFormat="1">
      <c r="A412" s="58"/>
    </row>
    <row r="413" spans="1:9" s="56" customFormat="1"/>
    <row r="414" spans="1:9" s="56" customFormat="1">
      <c r="A414" s="57"/>
      <c r="B414" s="57"/>
    </row>
    <row r="415" spans="1:9" s="56" customFormat="1">
      <c r="A415" s="58"/>
    </row>
    <row r="416" spans="1:9" s="56" customFormat="1">
      <c r="A416" s="58"/>
    </row>
    <row r="417" spans="1:16" s="56" customFormat="1">
      <c r="A417" s="58"/>
    </row>
    <row r="418" spans="1:16" s="56" customFormat="1">
      <c r="A418" s="58"/>
    </row>
    <row r="419" spans="1:16" s="56" customFormat="1">
      <c r="A419" s="58"/>
    </row>
    <row r="420" spans="1:16" s="56" customFormat="1">
      <c r="A420" s="58"/>
    </row>
    <row r="421" spans="1:16" s="56" customFormat="1"/>
    <row r="422" spans="1:16" s="56" customFormat="1">
      <c r="A422" s="58"/>
      <c r="B422" s="62"/>
      <c r="C422" s="62"/>
      <c r="D422" s="62"/>
      <c r="E422" s="62"/>
      <c r="F422" s="62"/>
      <c r="G422" s="62"/>
      <c r="H422" s="62"/>
      <c r="I422" s="62"/>
      <c r="J422" s="62"/>
      <c r="K422" s="62"/>
      <c r="L422" s="62"/>
      <c r="M422" s="62"/>
      <c r="N422" s="62"/>
      <c r="O422" s="62"/>
      <c r="P422" s="62"/>
    </row>
    <row r="423" spans="1:16" s="56" customFormat="1">
      <c r="A423" s="58"/>
    </row>
    <row r="424" spans="1:16" s="56" customFormat="1">
      <c r="A424" s="58"/>
    </row>
    <row r="425" spans="1:16" s="56" customFormat="1">
      <c r="A425" s="58"/>
    </row>
    <row r="426" spans="1:16" s="56" customFormat="1">
      <c r="A426" s="58"/>
    </row>
    <row r="427" spans="1:16" s="56" customFormat="1">
      <c r="A427" s="58"/>
    </row>
    <row r="428" spans="1:16" s="56" customFormat="1"/>
    <row r="429" spans="1:16" s="56" customFormat="1"/>
    <row r="430" spans="1:16" s="56" customFormat="1"/>
    <row r="431" spans="1:16" s="56" customFormat="1"/>
    <row r="432" spans="1:16" s="56" customFormat="1"/>
    <row r="433" s="56" customFormat="1"/>
    <row r="434" s="56" customFormat="1"/>
    <row r="435" s="56" customFormat="1"/>
    <row r="436" s="56" customFormat="1"/>
  </sheetData>
  <sortState xmlns:xlrd2="http://schemas.microsoft.com/office/spreadsheetml/2017/richdata2" ref="AH219:AI223">
    <sortCondition descending="1" ref="AI219:AI223"/>
  </sortState>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DF72B-6DB9-8D49-A18E-EBCAD02A2DDD}">
  <dimension ref="A1:U60"/>
  <sheetViews>
    <sheetView topLeftCell="I3" zoomScale="88" workbookViewId="0">
      <selection activeCell="J42" sqref="J42"/>
    </sheetView>
  </sheetViews>
  <sheetFormatPr baseColWidth="10" defaultRowHeight="15"/>
  <sheetData>
    <row r="1" spans="1:15" s="54" customFormat="1">
      <c r="A1" s="54" t="s">
        <v>165</v>
      </c>
    </row>
    <row r="2" spans="1:15">
      <c r="A2" t="s">
        <v>84</v>
      </c>
      <c r="B2" t="s">
        <v>32</v>
      </c>
      <c r="C2" t="s">
        <v>139</v>
      </c>
      <c r="D2" t="s">
        <v>140</v>
      </c>
      <c r="E2" t="s">
        <v>49</v>
      </c>
      <c r="F2" t="s">
        <v>50</v>
      </c>
      <c r="G2" t="s">
        <v>46</v>
      </c>
      <c r="H2" t="s">
        <v>37</v>
      </c>
      <c r="K2" t="s">
        <v>174</v>
      </c>
      <c r="L2" t="s">
        <v>168</v>
      </c>
      <c r="N2" t="s">
        <v>84</v>
      </c>
      <c r="O2" t="s">
        <v>168</v>
      </c>
    </row>
    <row r="3" spans="1:15">
      <c r="A3" t="s">
        <v>0</v>
      </c>
      <c r="B3" s="49">
        <v>0.61547893991845037</v>
      </c>
      <c r="C3" s="49">
        <v>0.41495562079473997</v>
      </c>
      <c r="D3" s="49">
        <v>0.46907715575965198</v>
      </c>
      <c r="E3" s="49">
        <v>-1.8016702017723044E-2</v>
      </c>
      <c r="F3" s="49">
        <v>0.41913077097957879</v>
      </c>
      <c r="G3" s="49">
        <v>0.51476711478223403</v>
      </c>
      <c r="H3" s="49">
        <v>-0.27407654735816189</v>
      </c>
      <c r="I3" s="49"/>
      <c r="J3" s="49"/>
      <c r="K3" s="49">
        <v>0.30590233612268097</v>
      </c>
      <c r="L3">
        <v>11</v>
      </c>
      <c r="N3" t="s">
        <v>3</v>
      </c>
      <c r="O3">
        <v>20</v>
      </c>
    </row>
    <row r="4" spans="1:15">
      <c r="A4" t="s">
        <v>87</v>
      </c>
      <c r="B4" s="49">
        <v>0.90983843292292743</v>
      </c>
      <c r="C4" s="49">
        <v>1.4440455603656943</v>
      </c>
      <c r="D4" s="49">
        <v>0.86950887409106203</v>
      </c>
      <c r="E4" s="49">
        <v>0.18016702017722788</v>
      </c>
      <c r="F4" s="49">
        <v>1.2681392557843669</v>
      </c>
      <c r="G4" s="49">
        <v>0.26473737331657815</v>
      </c>
      <c r="H4" s="49">
        <v>0.47340494543682415</v>
      </c>
      <c r="I4" s="49"/>
      <c r="J4" s="49"/>
      <c r="K4" s="49">
        <v>0.77283449458495446</v>
      </c>
      <c r="L4">
        <v>17</v>
      </c>
      <c r="N4" t="s">
        <v>9</v>
      </c>
      <c r="O4">
        <v>19</v>
      </c>
    </row>
    <row r="5" spans="1:15">
      <c r="A5" t="s">
        <v>2</v>
      </c>
      <c r="B5" s="49">
        <v>-1.1908179489726558</v>
      </c>
      <c r="C5" s="49">
        <v>-0.23237514764505413</v>
      </c>
      <c r="D5" s="49">
        <v>-6.864543742824189E-2</v>
      </c>
      <c r="E5" s="49">
        <v>0.18016702017722788</v>
      </c>
      <c r="F5" s="49">
        <v>0.45137159951646999</v>
      </c>
      <c r="G5" s="49">
        <v>0.17649158221105207</v>
      </c>
      <c r="H5" s="49">
        <v>0.14949629855899668</v>
      </c>
      <c r="I5" s="49"/>
      <c r="J5" s="49"/>
      <c r="K5" s="49">
        <v>-7.6330290511743601E-2</v>
      </c>
      <c r="L5">
        <v>9</v>
      </c>
      <c r="N5" t="s">
        <v>13</v>
      </c>
      <c r="O5">
        <v>18</v>
      </c>
    </row>
    <row r="6" spans="1:15">
      <c r="A6" t="s">
        <v>3</v>
      </c>
      <c r="B6" s="49">
        <v>0.53519907818995749</v>
      </c>
      <c r="C6" s="49">
        <v>0.87970591608484938</v>
      </c>
      <c r="D6" s="49">
        <v>0.93815431151930306</v>
      </c>
      <c r="E6" s="49">
        <v>1.0629854190456443</v>
      </c>
      <c r="F6" s="49">
        <v>0.92423708472419996</v>
      </c>
      <c r="G6" s="49">
        <v>1.103072388819073</v>
      </c>
      <c r="H6" s="49">
        <v>1.1461382889523122</v>
      </c>
      <c r="I6" s="49"/>
      <c r="J6" s="49"/>
      <c r="K6" s="49">
        <v>0.94135606961933427</v>
      </c>
      <c r="L6">
        <v>20</v>
      </c>
      <c r="N6" t="s">
        <v>87</v>
      </c>
      <c r="O6">
        <v>17</v>
      </c>
    </row>
    <row r="7" spans="1:15">
      <c r="A7" t="s">
        <v>4</v>
      </c>
      <c r="B7" s="49">
        <v>-0.61547893991845137</v>
      </c>
      <c r="C7" s="49">
        <v>-1.145277513393482</v>
      </c>
      <c r="D7" s="49">
        <v>0.16017268733256387</v>
      </c>
      <c r="E7" s="49">
        <v>1.4413361614178231</v>
      </c>
      <c r="F7" s="49">
        <v>1.8377272266027695</v>
      </c>
      <c r="G7" s="49">
        <v>0.97070370216078439</v>
      </c>
      <c r="H7" s="49">
        <v>-0.52323704495649059</v>
      </c>
      <c r="I7" s="49"/>
      <c r="J7" s="49"/>
      <c r="K7" s="49">
        <v>0.30370661132078813</v>
      </c>
      <c r="L7">
        <v>10</v>
      </c>
      <c r="N7" t="s">
        <v>7</v>
      </c>
      <c r="O7">
        <v>16</v>
      </c>
    </row>
    <row r="8" spans="1:15">
      <c r="A8" t="s">
        <v>7</v>
      </c>
      <c r="B8" s="49">
        <v>0.16055972345698669</v>
      </c>
      <c r="C8" s="49">
        <v>1.0954828388981137</v>
      </c>
      <c r="D8" s="49">
        <v>1.4529950922311161</v>
      </c>
      <c r="E8" s="49">
        <v>0.81075159079752546</v>
      </c>
      <c r="F8" s="49">
        <v>0.59108185650966261</v>
      </c>
      <c r="G8" s="49">
        <v>0.6177205377386813</v>
      </c>
      <c r="H8" s="49">
        <v>0.5730691444761552</v>
      </c>
      <c r="I8" s="49"/>
      <c r="J8" s="49"/>
      <c r="K8" s="49">
        <v>0.75738011201546296</v>
      </c>
      <c r="L8">
        <v>16</v>
      </c>
      <c r="N8" t="s">
        <v>8</v>
      </c>
      <c r="O8">
        <v>15</v>
      </c>
    </row>
    <row r="9" spans="1:15">
      <c r="A9" t="s">
        <v>8</v>
      </c>
      <c r="B9" s="49">
        <v>-0.40139930864246814</v>
      </c>
      <c r="C9" s="49">
        <v>0.92950059058021772</v>
      </c>
      <c r="D9" s="49">
        <v>1.17841334251815</v>
      </c>
      <c r="E9" s="49">
        <v>0.36033404035445576</v>
      </c>
      <c r="F9" s="49">
        <v>1.4615842270057113</v>
      </c>
      <c r="G9" s="49">
        <v>0.58830527403683885</v>
      </c>
      <c r="H9" s="49">
        <v>0.24916049759832867</v>
      </c>
      <c r="I9" s="49"/>
      <c r="J9" s="49"/>
      <c r="K9" s="49">
        <v>0.62369980906446199</v>
      </c>
      <c r="L9">
        <v>15</v>
      </c>
      <c r="N9" t="s">
        <v>12</v>
      </c>
      <c r="O9">
        <v>14</v>
      </c>
    </row>
    <row r="10" spans="1:15">
      <c r="A10" t="s">
        <v>9</v>
      </c>
      <c r="B10" s="49">
        <v>1.9400966584385961</v>
      </c>
      <c r="C10" s="49">
        <v>0.78011656709411037</v>
      </c>
      <c r="D10" s="49">
        <v>0.91527249904322383</v>
      </c>
      <c r="E10" s="49">
        <v>0.59455116658485152</v>
      </c>
      <c r="F10" s="49">
        <v>0.70929822781159535</v>
      </c>
      <c r="G10" s="49">
        <v>0.82362738365157462</v>
      </c>
      <c r="H10" s="49">
        <v>0.5730691444761552</v>
      </c>
      <c r="I10" s="49"/>
      <c r="J10" s="49"/>
      <c r="K10" s="49">
        <v>0.90514737815715807</v>
      </c>
      <c r="L10">
        <v>19</v>
      </c>
      <c r="N10" t="s">
        <v>10</v>
      </c>
      <c r="O10">
        <v>13</v>
      </c>
    </row>
    <row r="11" spans="1:15">
      <c r="A11" t="s">
        <v>10</v>
      </c>
      <c r="B11" s="49">
        <v>0.6288589168731995</v>
      </c>
      <c r="C11" s="49">
        <v>0.46475029529010947</v>
      </c>
      <c r="D11" s="49">
        <v>0.64069074933025627</v>
      </c>
      <c r="E11" s="49">
        <v>0.43240084842534671</v>
      </c>
      <c r="F11" s="49">
        <v>0.42987771382520923</v>
      </c>
      <c r="G11" s="49">
        <v>0.38239842812394548</v>
      </c>
      <c r="H11" s="49">
        <v>0.1744123483188299</v>
      </c>
      <c r="I11" s="49"/>
      <c r="J11" s="49"/>
      <c r="K11" s="49">
        <v>0.4504841857409852</v>
      </c>
      <c r="L11">
        <v>13</v>
      </c>
      <c r="N11" t="s">
        <v>11</v>
      </c>
      <c r="O11">
        <v>12</v>
      </c>
    </row>
    <row r="12" spans="1:15">
      <c r="A12" t="s">
        <v>11</v>
      </c>
      <c r="B12" s="49">
        <v>0.70913877860169339</v>
      </c>
      <c r="C12" s="49">
        <v>0.26557159730863378</v>
      </c>
      <c r="D12" s="49">
        <v>0.48051806199769243</v>
      </c>
      <c r="E12" s="49">
        <v>-0.16215031815950612</v>
      </c>
      <c r="F12" s="49">
        <v>-0.21493885691260461</v>
      </c>
      <c r="G12" s="49">
        <v>0.22061447776381457</v>
      </c>
      <c r="H12" s="49">
        <v>0.94680989087364831</v>
      </c>
      <c r="I12" s="49"/>
      <c r="J12" s="49"/>
      <c r="K12" s="49">
        <v>0.32079480449619596</v>
      </c>
      <c r="L12">
        <v>12</v>
      </c>
      <c r="N12" t="s">
        <v>0</v>
      </c>
      <c r="O12">
        <v>11</v>
      </c>
    </row>
    <row r="13" spans="1:15">
      <c r="A13" t="s">
        <v>12</v>
      </c>
      <c r="B13" s="49">
        <v>0.45491921646146372</v>
      </c>
      <c r="C13" s="49">
        <v>1.4440455603656943</v>
      </c>
      <c r="D13" s="49">
        <v>0.89239068656714293</v>
      </c>
      <c r="E13" s="49">
        <v>-0.37835074237217881</v>
      </c>
      <c r="F13" s="49">
        <v>2.1493885691260765E-2</v>
      </c>
      <c r="G13" s="49">
        <v>0.42652132367670798</v>
      </c>
      <c r="H13" s="49">
        <v>1.0464740899129794</v>
      </c>
      <c r="I13" s="49"/>
      <c r="J13" s="49"/>
      <c r="K13" s="49">
        <v>0.55821343147186719</v>
      </c>
      <c r="L13">
        <v>14</v>
      </c>
      <c r="N13" t="s">
        <v>4</v>
      </c>
      <c r="O13">
        <v>10</v>
      </c>
    </row>
    <row r="14" spans="1:15">
      <c r="A14" t="s">
        <v>13</v>
      </c>
      <c r="B14" s="49">
        <v>0.45491921646146372</v>
      </c>
      <c r="C14" s="49">
        <v>1.0954828388981137</v>
      </c>
      <c r="D14" s="49">
        <v>0.91527249904322383</v>
      </c>
      <c r="E14" s="49">
        <v>0.97290190895703033</v>
      </c>
      <c r="F14" s="49">
        <v>0.12896331414756307</v>
      </c>
      <c r="G14" s="49">
        <v>0.82362738365157462</v>
      </c>
      <c r="H14" s="49">
        <v>1.943451881266963</v>
      </c>
      <c r="I14" s="49"/>
      <c r="J14" s="49"/>
      <c r="K14" s="49">
        <v>0.90494557748941895</v>
      </c>
      <c r="L14">
        <v>18</v>
      </c>
      <c r="N14" t="s">
        <v>2</v>
      </c>
      <c r="O14">
        <v>9</v>
      </c>
    </row>
    <row r="15" spans="1:15">
      <c r="A15" t="s">
        <v>14</v>
      </c>
      <c r="B15" s="49">
        <v>-0.3612593777782217</v>
      </c>
      <c r="C15" s="49">
        <v>0.38175917113116148</v>
      </c>
      <c r="D15" s="49">
        <v>-0.14873178109452342</v>
      </c>
      <c r="E15" s="49">
        <v>-0.77471818676208071</v>
      </c>
      <c r="F15" s="49">
        <v>-0.35464911390579729</v>
      </c>
      <c r="G15" s="49">
        <v>-0.11766105480736735</v>
      </c>
      <c r="H15" s="49">
        <v>-0.373740746397493</v>
      </c>
      <c r="I15" s="49"/>
      <c r="J15" s="49"/>
      <c r="K15" s="49">
        <v>-0.24985729851633171</v>
      </c>
      <c r="L15">
        <v>7</v>
      </c>
      <c r="N15" t="s">
        <v>15</v>
      </c>
      <c r="O15">
        <v>8</v>
      </c>
    </row>
    <row r="16" spans="1:15">
      <c r="A16" t="s">
        <v>15</v>
      </c>
      <c r="B16" s="49">
        <v>1.0168782485609185</v>
      </c>
      <c r="C16" s="49">
        <v>0.4813485201218981</v>
      </c>
      <c r="D16" s="49">
        <v>0.17161359357060432</v>
      </c>
      <c r="E16" s="49">
        <v>-1.0089353129924765</v>
      </c>
      <c r="F16" s="49">
        <v>-0.7845268277310069</v>
      </c>
      <c r="G16" s="49">
        <v>-0.77950448809881112</v>
      </c>
      <c r="H16" s="49">
        <v>7.4748149279497897E-2</v>
      </c>
      <c r="I16" s="49"/>
      <c r="J16" s="49"/>
      <c r="K16" s="49">
        <v>-0.11833973104133941</v>
      </c>
      <c r="L16">
        <v>8</v>
      </c>
      <c r="N16" t="s">
        <v>14</v>
      </c>
      <c r="O16">
        <v>7</v>
      </c>
    </row>
    <row r="17" spans="1:15">
      <c r="A17" t="s">
        <v>16</v>
      </c>
      <c r="B17" s="49">
        <v>-1.5119373958866307</v>
      </c>
      <c r="C17" s="49">
        <v>0.54774141944905741</v>
      </c>
      <c r="D17" s="49">
        <v>-0.13729087485648298</v>
      </c>
      <c r="E17" s="49">
        <v>-0.82876829281524855</v>
      </c>
      <c r="F17" s="49">
        <v>-1.5153189412338626</v>
      </c>
      <c r="G17" s="49">
        <v>-1.97082266802341</v>
      </c>
      <c r="H17" s="49">
        <v>-0.99664199039331469</v>
      </c>
      <c r="I17" s="49"/>
      <c r="J17" s="49"/>
      <c r="K17" s="49">
        <v>-0.91614839196569875</v>
      </c>
      <c r="L17">
        <v>5</v>
      </c>
      <c r="N17" t="s">
        <v>21</v>
      </c>
      <c r="O17">
        <v>6</v>
      </c>
    </row>
    <row r="18" spans="1:15">
      <c r="A18" t="s">
        <v>17</v>
      </c>
      <c r="B18" s="49">
        <v>-1.0837781333346641</v>
      </c>
      <c r="C18" s="49">
        <v>-1.2448668623842198</v>
      </c>
      <c r="D18" s="49">
        <v>-1.6131677795636807</v>
      </c>
      <c r="E18" s="49">
        <v>-1.2972025452760414</v>
      </c>
      <c r="F18" s="49">
        <v>-1.1929106558649556</v>
      </c>
      <c r="G18" s="49">
        <v>-1.0295342295644681</v>
      </c>
      <c r="H18" s="49">
        <v>-1.9434518812669639</v>
      </c>
      <c r="I18" s="49"/>
      <c r="J18" s="49"/>
      <c r="K18" s="49">
        <v>-1.3435588696078562</v>
      </c>
      <c r="L18">
        <v>2</v>
      </c>
      <c r="N18" t="s">
        <v>16</v>
      </c>
      <c r="O18">
        <v>5</v>
      </c>
    </row>
    <row r="19" spans="1:15">
      <c r="A19" t="s">
        <v>18</v>
      </c>
      <c r="B19" s="49">
        <v>-1.0302582255156687</v>
      </c>
      <c r="C19" s="49">
        <v>-0.44815207045831845</v>
      </c>
      <c r="D19" s="49">
        <v>-0.68645437428241729</v>
      </c>
      <c r="E19" s="49">
        <v>-1.747620095719111</v>
      </c>
      <c r="F19" s="49">
        <v>-1.4185964556231903</v>
      </c>
      <c r="G19" s="49">
        <v>-1.5590089761976234</v>
      </c>
      <c r="H19" s="49">
        <v>-0.6976493932753205</v>
      </c>
      <c r="I19" s="49"/>
      <c r="J19" s="49"/>
      <c r="K19" s="49">
        <v>-1.0839627987245213</v>
      </c>
      <c r="L19">
        <v>4</v>
      </c>
      <c r="N19" t="s">
        <v>18</v>
      </c>
      <c r="O19">
        <v>4</v>
      </c>
    </row>
    <row r="20" spans="1:15">
      <c r="A20" t="s">
        <v>19</v>
      </c>
      <c r="B20" s="49">
        <v>-1.6591171423888686</v>
      </c>
      <c r="C20" s="49">
        <v>-9.9589348990737819E-2</v>
      </c>
      <c r="D20" s="49">
        <v>-0.61780893685417537</v>
      </c>
      <c r="E20" s="49">
        <v>-1.8557203078254481</v>
      </c>
      <c r="F20" s="49">
        <v>-1.3648617413950392</v>
      </c>
      <c r="G20" s="49">
        <v>-2.0149455635761724</v>
      </c>
      <c r="H20" s="49">
        <v>-0.74748149279498599</v>
      </c>
      <c r="I20" s="49"/>
      <c r="J20" s="49"/>
      <c r="K20" s="49">
        <v>-1.1942177905464895</v>
      </c>
      <c r="L20">
        <v>3</v>
      </c>
      <c r="N20" t="s">
        <v>19</v>
      </c>
      <c r="O20">
        <v>3</v>
      </c>
    </row>
    <row r="21" spans="1:15">
      <c r="A21" t="s">
        <v>20</v>
      </c>
      <c r="B21" s="49">
        <v>-1.0168782485609196</v>
      </c>
      <c r="C21" s="49">
        <v>-1.792608281833276</v>
      </c>
      <c r="D21" s="49">
        <v>-1.9563949667048894</v>
      </c>
      <c r="E21" s="49">
        <v>-1.8917537118608936</v>
      </c>
      <c r="F21" s="49">
        <v>-1.4615842270057113</v>
      </c>
      <c r="G21" s="49">
        <v>-1.6766700310049907</v>
      </c>
      <c r="H21" s="49">
        <v>-2.1926123788652925</v>
      </c>
      <c r="I21" s="49"/>
      <c r="J21" s="49"/>
      <c r="K21" s="49">
        <v>-1.7126431208337105</v>
      </c>
      <c r="L21">
        <v>1</v>
      </c>
      <c r="N21" t="s">
        <v>17</v>
      </c>
      <c r="O21">
        <v>2</v>
      </c>
    </row>
    <row r="22" spans="1:15">
      <c r="A22" t="s">
        <v>21</v>
      </c>
      <c r="B22" s="49">
        <v>1.4048975802486385</v>
      </c>
      <c r="C22" s="49">
        <v>-1.9253940804875935</v>
      </c>
      <c r="D22" s="49">
        <v>-2.0364813103711707</v>
      </c>
      <c r="E22" s="49">
        <v>-0.46843425246079279</v>
      </c>
      <c r="F22" s="49">
        <v>0.26867357114075574</v>
      </c>
      <c r="G22" s="49">
        <v>-0.38239842812394548</v>
      </c>
      <c r="H22" s="49">
        <v>-0.89697779135398359</v>
      </c>
      <c r="I22" s="49"/>
      <c r="J22" s="49"/>
      <c r="K22" s="49">
        <v>-0.57658781591544173</v>
      </c>
      <c r="L22">
        <v>6</v>
      </c>
      <c r="N22" t="s">
        <v>20</v>
      </c>
      <c r="O22">
        <v>1</v>
      </c>
    </row>
    <row r="24" spans="1:15" s="54" customFormat="1">
      <c r="A24" s="54" t="s">
        <v>222</v>
      </c>
    </row>
    <row r="25" spans="1:15">
      <c r="A25" t="s">
        <v>84</v>
      </c>
      <c r="B25" t="s">
        <v>32</v>
      </c>
      <c r="C25" t="s">
        <v>204</v>
      </c>
      <c r="D25" t="s">
        <v>205</v>
      </c>
      <c r="E25" t="s">
        <v>141</v>
      </c>
      <c r="F25" t="s">
        <v>37</v>
      </c>
      <c r="I25" s="55" t="s">
        <v>207</v>
      </c>
      <c r="J25" s="55"/>
      <c r="L25" s="55" t="s">
        <v>223</v>
      </c>
      <c r="M25" s="55"/>
      <c r="N25" s="55"/>
    </row>
    <row r="26" spans="1:15">
      <c r="A26" t="s">
        <v>0</v>
      </c>
      <c r="B26" s="49">
        <v>0.61547893991845037</v>
      </c>
      <c r="C26" s="49">
        <f>AVERAGE(C3,D3)</f>
        <v>0.44201638827719597</v>
      </c>
      <c r="D26" s="49">
        <f>AVERAGE(E3,F3)</f>
        <v>0.20055703448092788</v>
      </c>
      <c r="E26" s="49">
        <v>0.51476711478223403</v>
      </c>
      <c r="F26" s="49">
        <v>-0.27407654735816189</v>
      </c>
      <c r="G26" s="49"/>
      <c r="H26" s="49"/>
      <c r="I26" s="49">
        <f>B26*0.17+C26*0.25+D26*0.16+E26*0.25+F26*0.17</f>
        <v>0.32932340801705501</v>
      </c>
      <c r="L26" t="s">
        <v>32</v>
      </c>
    </row>
    <row r="27" spans="1:15">
      <c r="A27" t="s">
        <v>87</v>
      </c>
      <c r="B27" s="49">
        <v>0.90983843292292699</v>
      </c>
      <c r="C27" s="49">
        <f t="shared" ref="C27:C45" si="0">AVERAGE(C4,D4)</f>
        <v>1.1567772172283781</v>
      </c>
      <c r="D27" s="49">
        <f t="shared" ref="D27:D45" si="1">AVERAGE(E4,F4)</f>
        <v>0.72415313798079739</v>
      </c>
      <c r="E27" s="49">
        <v>0.26473737331657815</v>
      </c>
      <c r="F27" s="49">
        <v>0.47340494543682415</v>
      </c>
      <c r="G27" s="49"/>
      <c r="H27" s="49"/>
      <c r="I27" s="49">
        <f>B27*0.17+C27*0.25+D27*0.16+E27*0.25+F27*0.17</f>
        <v>0.70639452403432446</v>
      </c>
      <c r="L27" t="s">
        <v>202</v>
      </c>
    </row>
    <row r="28" spans="1:15">
      <c r="A28" t="s">
        <v>2</v>
      </c>
      <c r="B28" s="49">
        <v>-1.1908179489726558</v>
      </c>
      <c r="C28" s="49">
        <f>AVERAGE(C5,D5)</f>
        <v>-0.15051029253664799</v>
      </c>
      <c r="D28" s="49">
        <f t="shared" si="1"/>
        <v>0.31576930984684892</v>
      </c>
      <c r="E28" s="49">
        <v>0.17649158221105207</v>
      </c>
      <c r="F28" s="49">
        <v>0.14949629855899668</v>
      </c>
      <c r="G28" s="49"/>
      <c r="H28" s="49"/>
      <c r="I28" s="49">
        <f t="shared" ref="I28:I45" si="2">B28*0.17+C28*0.25+D28*0.16+E28*0.25+F28*0.17</f>
        <v>-0.12000626857622519</v>
      </c>
      <c r="L28" t="s">
        <v>203</v>
      </c>
    </row>
    <row r="29" spans="1:15">
      <c r="A29" t="s">
        <v>3</v>
      </c>
      <c r="B29" s="49">
        <v>0.53519907818995749</v>
      </c>
      <c r="C29" s="49">
        <f t="shared" si="0"/>
        <v>0.90893011380207622</v>
      </c>
      <c r="D29" s="49">
        <f t="shared" si="1"/>
        <v>0.99361125188492205</v>
      </c>
      <c r="E29" s="49">
        <v>1.103072388819073</v>
      </c>
      <c r="F29" s="49">
        <v>1.1461382889523122</v>
      </c>
      <c r="G29" s="49"/>
      <c r="H29" s="49"/>
      <c r="I29" s="49">
        <f t="shared" si="2"/>
        <v>0.94780577837106061</v>
      </c>
      <c r="L29" t="s">
        <v>46</v>
      </c>
    </row>
    <row r="30" spans="1:15">
      <c r="A30" t="s">
        <v>4</v>
      </c>
      <c r="B30" s="49">
        <v>-0.61547893991845137</v>
      </c>
      <c r="C30" s="49">
        <f t="shared" si="0"/>
        <v>-0.4925524130304591</v>
      </c>
      <c r="D30" s="49">
        <f t="shared" si="1"/>
        <v>1.6395316940102962</v>
      </c>
      <c r="E30" s="49">
        <v>0.97070370216078439</v>
      </c>
      <c r="F30" s="49">
        <v>-0.52323704495649059</v>
      </c>
      <c r="G30" s="49"/>
      <c r="H30" s="49"/>
      <c r="I30" s="49">
        <f t="shared" si="2"/>
        <v>0.18828117589548854</v>
      </c>
      <c r="L30" t="s">
        <v>37</v>
      </c>
    </row>
    <row r="31" spans="1:15">
      <c r="A31" t="s">
        <v>7</v>
      </c>
      <c r="B31" s="49">
        <v>0.16055972345698669</v>
      </c>
      <c r="C31" s="49">
        <f t="shared" si="0"/>
        <v>1.2742389655646149</v>
      </c>
      <c r="D31" s="49">
        <f t="shared" si="1"/>
        <v>0.70091672365359403</v>
      </c>
      <c r="E31" s="49">
        <v>0.6177205377386813</v>
      </c>
      <c r="F31" s="49">
        <v>0.5730691444761552</v>
      </c>
      <c r="G31" s="49"/>
      <c r="H31" s="49"/>
      <c r="I31" s="49">
        <f t="shared" si="2"/>
        <v>0.7098534591590332</v>
      </c>
    </row>
    <row r="32" spans="1:15">
      <c r="A32" t="s">
        <v>8</v>
      </c>
      <c r="B32" s="49">
        <v>-0.40139930864246814</v>
      </c>
      <c r="C32" s="49">
        <f t="shared" si="0"/>
        <v>1.0539569665491839</v>
      </c>
      <c r="D32" s="49">
        <f t="shared" si="1"/>
        <v>0.91095913368008352</v>
      </c>
      <c r="E32" s="49">
        <v>0.58830527403683885</v>
      </c>
      <c r="F32" s="49">
        <v>0.24916049759832867</v>
      </c>
      <c r="G32" s="49"/>
      <c r="H32" s="49"/>
      <c r="I32" s="49">
        <f t="shared" si="2"/>
        <v>0.53043842365781535</v>
      </c>
      <c r="L32" s="67" t="s">
        <v>206</v>
      </c>
      <c r="M32" s="55"/>
    </row>
    <row r="33" spans="1:21" ht="16">
      <c r="A33" t="s">
        <v>9</v>
      </c>
      <c r="B33" s="49">
        <v>1.9400966584385961</v>
      </c>
      <c r="C33" s="49">
        <f t="shared" si="0"/>
        <v>0.84769453306866716</v>
      </c>
      <c r="D33" s="49">
        <f t="shared" si="1"/>
        <v>0.65192469719822344</v>
      </c>
      <c r="E33" s="49">
        <v>0.82362738365157462</v>
      </c>
      <c r="F33" s="49">
        <v>0.5730691444761552</v>
      </c>
      <c r="G33" s="49"/>
      <c r="H33" s="49"/>
      <c r="I33" s="49">
        <f t="shared" si="2"/>
        <v>0.94937661722728395</v>
      </c>
      <c r="L33" s="48" t="s">
        <v>142</v>
      </c>
    </row>
    <row r="34" spans="1:21" ht="16">
      <c r="A34" t="s">
        <v>10</v>
      </c>
      <c r="B34" s="49">
        <v>0.6288589168731995</v>
      </c>
      <c r="C34" s="49">
        <f t="shared" si="0"/>
        <v>0.55272052231018287</v>
      </c>
      <c r="D34" s="49">
        <f t="shared" si="1"/>
        <v>0.431139281125278</v>
      </c>
      <c r="E34" s="49">
        <v>0.38239842812394548</v>
      </c>
      <c r="F34" s="49">
        <v>0.1744123483188299</v>
      </c>
      <c r="G34" s="49"/>
      <c r="H34" s="49"/>
      <c r="I34" s="49">
        <f t="shared" si="2"/>
        <v>0.43931813767122158</v>
      </c>
      <c r="L34" s="48" t="s">
        <v>143</v>
      </c>
    </row>
    <row r="35" spans="1:21" ht="16">
      <c r="A35" t="s">
        <v>11</v>
      </c>
      <c r="B35" s="49">
        <v>0.70913877860169339</v>
      </c>
      <c r="C35" s="49">
        <f t="shared" si="0"/>
        <v>0.3730448296531631</v>
      </c>
      <c r="D35" s="49">
        <f t="shared" si="1"/>
        <v>-0.18854458753605535</v>
      </c>
      <c r="E35" s="49">
        <v>0.22061447776381457</v>
      </c>
      <c r="F35" s="49">
        <v>0.94680989087364831</v>
      </c>
      <c r="G35" s="49"/>
      <c r="H35" s="49"/>
      <c r="I35" s="49">
        <f t="shared" si="2"/>
        <v>0.39975896665928368</v>
      </c>
      <c r="L35" s="48" t="s">
        <v>144</v>
      </c>
    </row>
    <row r="36" spans="1:21" ht="16">
      <c r="A36" t="s">
        <v>12</v>
      </c>
      <c r="B36" s="49">
        <v>0.45491921646146372</v>
      </c>
      <c r="C36" s="49">
        <f t="shared" si="0"/>
        <v>1.1682181234664186</v>
      </c>
      <c r="D36" s="49">
        <f t="shared" si="1"/>
        <v>-0.17842842834045902</v>
      </c>
      <c r="E36" s="49">
        <v>0.42652132367670798</v>
      </c>
      <c r="F36" s="49">
        <v>1.0464740899129794</v>
      </c>
      <c r="G36" s="49"/>
      <c r="H36" s="49"/>
      <c r="I36" s="49">
        <f t="shared" si="2"/>
        <v>0.62537317533496362</v>
      </c>
      <c r="L36" s="48" t="s">
        <v>145</v>
      </c>
    </row>
    <row r="37" spans="1:21" ht="16">
      <c r="A37" t="s">
        <v>13</v>
      </c>
      <c r="B37" s="49">
        <v>0.45491921646146372</v>
      </c>
      <c r="C37" s="49">
        <f t="shared" si="0"/>
        <v>1.0053776689706688</v>
      </c>
      <c r="D37" s="49">
        <f t="shared" si="1"/>
        <v>0.55093261155229667</v>
      </c>
      <c r="E37" s="49">
        <v>0.82362738365157462</v>
      </c>
      <c r="F37" s="49">
        <v>1.943451881266963</v>
      </c>
      <c r="G37" s="49"/>
      <c r="H37" s="49"/>
      <c r="I37" s="49">
        <f t="shared" si="2"/>
        <v>0.95312356761776096</v>
      </c>
      <c r="L37" s="48" t="s">
        <v>146</v>
      </c>
    </row>
    <row r="38" spans="1:21">
      <c r="A38" t="s">
        <v>14</v>
      </c>
      <c r="B38" s="49">
        <v>-0.3612593777782217</v>
      </c>
      <c r="C38" s="49">
        <f t="shared" si="0"/>
        <v>0.11651369501831903</v>
      </c>
      <c r="D38" s="49">
        <f t="shared" si="1"/>
        <v>-0.56468365033393897</v>
      </c>
      <c r="E38" s="49">
        <v>-0.11766105480736735</v>
      </c>
      <c r="F38" s="49">
        <v>-0.373740746397493</v>
      </c>
      <c r="G38" s="49"/>
      <c r="H38" s="49"/>
      <c r="I38" s="49">
        <f t="shared" si="2"/>
        <v>-0.21558624511056382</v>
      </c>
    </row>
    <row r="39" spans="1:21" ht="16">
      <c r="A39" t="s">
        <v>15</v>
      </c>
      <c r="B39" s="49">
        <v>1.0168782485609185</v>
      </c>
      <c r="C39" s="49">
        <f>AVERAGE(C16,D16)</f>
        <v>0.32648105684625123</v>
      </c>
      <c r="D39" s="49">
        <f t="shared" si="1"/>
        <v>-0.89673107036174171</v>
      </c>
      <c r="E39" s="49">
        <v>-0.77950448809881112</v>
      </c>
      <c r="F39" s="49">
        <v>7.4748149279497897E-2</v>
      </c>
      <c r="G39" s="49"/>
      <c r="H39" s="49"/>
      <c r="I39" s="49">
        <f t="shared" si="2"/>
        <v>-7.1156341438147863E-2</v>
      </c>
      <c r="L39" s="48"/>
    </row>
    <row r="40" spans="1:21" ht="16">
      <c r="A40" t="s">
        <v>16</v>
      </c>
      <c r="B40" s="49">
        <v>-1.5119373958866307</v>
      </c>
      <c r="C40" s="49">
        <f t="shared" si="0"/>
        <v>0.20522527229628723</v>
      </c>
      <c r="D40" s="49">
        <f t="shared" si="1"/>
        <v>-1.1720436170245556</v>
      </c>
      <c r="E40" s="49">
        <v>-1.97082266802341</v>
      </c>
      <c r="F40" s="49">
        <v>-0.99664199039331469</v>
      </c>
      <c r="G40" s="49"/>
      <c r="H40" s="49"/>
      <c r="I40" s="49">
        <f t="shared" si="2"/>
        <v>-1.0553848233233003</v>
      </c>
      <c r="L40" s="48"/>
    </row>
    <row r="41" spans="1:21" ht="16">
      <c r="A41" t="s">
        <v>17</v>
      </c>
      <c r="B41" s="49">
        <v>-1.0837781333346641</v>
      </c>
      <c r="C41" s="49">
        <f t="shared" si="0"/>
        <v>-1.4290173209739503</v>
      </c>
      <c r="D41" s="49">
        <f t="shared" si="1"/>
        <v>-1.2450566005704986</v>
      </c>
      <c r="E41" s="49">
        <v>-1.0295342295644681</v>
      </c>
      <c r="F41" s="49">
        <v>-1.9434518812669639</v>
      </c>
      <c r="G41" s="49"/>
      <c r="H41" s="49"/>
      <c r="I41" s="49">
        <f t="shared" si="2"/>
        <v>-1.3284760462081611</v>
      </c>
      <c r="L41" s="48"/>
    </row>
    <row r="42" spans="1:21">
      <c r="A42" t="s">
        <v>18</v>
      </c>
      <c r="B42" s="49">
        <v>-1.0302582255156687</v>
      </c>
      <c r="C42" s="49">
        <f t="shared" si="0"/>
        <v>-0.5673032223703679</v>
      </c>
      <c r="D42" s="49">
        <f t="shared" si="1"/>
        <v>-1.5831082756711505</v>
      </c>
      <c r="E42" s="49">
        <v>-1.5590089761976234</v>
      </c>
      <c r="F42" s="49">
        <v>-0.6976493932753205</v>
      </c>
      <c r="G42" s="49"/>
      <c r="H42" s="49"/>
      <c r="I42" s="49">
        <f t="shared" si="2"/>
        <v>-1.0786196689438503</v>
      </c>
    </row>
    <row r="43" spans="1:21">
      <c r="A43" t="s">
        <v>19</v>
      </c>
      <c r="B43" s="49">
        <v>-1.6591171423888686</v>
      </c>
      <c r="C43" s="49">
        <f t="shared" si="0"/>
        <v>-0.35869914292245658</v>
      </c>
      <c r="D43" s="49">
        <f t="shared" si="1"/>
        <v>-1.6102910246102438</v>
      </c>
      <c r="E43" s="49">
        <v>-2.0149455635761724</v>
      </c>
      <c r="F43" s="49">
        <v>-0.74748149279498599</v>
      </c>
      <c r="G43" s="49"/>
      <c r="H43" s="49"/>
      <c r="I43" s="49">
        <f t="shared" si="2"/>
        <v>-1.2601795085435517</v>
      </c>
    </row>
    <row r="44" spans="1:21" ht="16">
      <c r="A44" t="s">
        <v>20</v>
      </c>
      <c r="B44" s="49">
        <v>-1.0168782485609196</v>
      </c>
      <c r="C44" s="49">
        <f t="shared" si="0"/>
        <v>-1.8745016242690826</v>
      </c>
      <c r="D44" s="49">
        <f t="shared" si="1"/>
        <v>-1.6766689694333023</v>
      </c>
      <c r="E44" s="49">
        <v>-1.6766700310049907</v>
      </c>
      <c r="F44" s="49">
        <v>-2.1926123788652925</v>
      </c>
      <c r="G44" s="49"/>
      <c r="H44" s="49"/>
      <c r="I44" s="49">
        <f t="shared" si="2"/>
        <v>-1.701673355590303</v>
      </c>
      <c r="L44" s="48"/>
    </row>
    <row r="45" spans="1:21">
      <c r="A45" t="s">
        <v>21</v>
      </c>
      <c r="B45" s="49">
        <v>1.4048975802486385</v>
      </c>
      <c r="C45" s="49">
        <f t="shared" si="0"/>
        <v>-1.980937695429382</v>
      </c>
      <c r="D45" s="49">
        <f t="shared" si="1"/>
        <v>-9.9880340660018524E-2</v>
      </c>
      <c r="E45" s="49">
        <v>-0.38239842812394548</v>
      </c>
      <c r="F45" s="49">
        <v>-0.89697779135398359</v>
      </c>
      <c r="G45" s="49"/>
      <c r="H45" s="49"/>
      <c r="I45" s="49">
        <f t="shared" si="2"/>
        <v>-0.52046852128184351</v>
      </c>
    </row>
    <row r="47" spans="1:21" s="57" customFormat="1">
      <c r="A47" s="63"/>
      <c r="B47" s="63"/>
      <c r="C47" s="63"/>
      <c r="D47" s="63"/>
      <c r="E47" s="63"/>
      <c r="F47" s="63"/>
      <c r="G47" s="63"/>
      <c r="H47" s="63"/>
      <c r="U47" s="56"/>
    </row>
    <row r="52" spans="4:10">
      <c r="D52" s="2"/>
    </row>
    <row r="55" spans="4:10" ht="16">
      <c r="J55" s="48"/>
    </row>
    <row r="56" spans="4:10" ht="16">
      <c r="J56" s="48"/>
    </row>
    <row r="57" spans="4:10" ht="16">
      <c r="J57" s="48"/>
    </row>
    <row r="60" spans="4:10" ht="16">
      <c r="J60" s="48"/>
    </row>
  </sheetData>
  <sortState xmlns:xlrd2="http://schemas.microsoft.com/office/spreadsheetml/2017/richdata2" ref="T27:U46">
    <sortCondition descending="1" ref="U27:U46"/>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066B2-4EC5-4A98-A08C-6DD12A1D2973}">
  <dimension ref="A1:H31"/>
  <sheetViews>
    <sheetView workbookViewId="0">
      <selection activeCell="B1" sqref="B1"/>
    </sheetView>
  </sheetViews>
  <sheetFormatPr baseColWidth="10" defaultColWidth="8.83203125" defaultRowHeight="15"/>
  <cols>
    <col min="1" max="1" width="37.5" bestFit="1" customWidth="1"/>
    <col min="2" max="2" width="32" bestFit="1" customWidth="1"/>
    <col min="3" max="3" width="32.33203125" bestFit="1" customWidth="1"/>
  </cols>
  <sheetData>
    <row r="1" spans="1:3">
      <c r="A1" s="2" t="s">
        <v>84</v>
      </c>
      <c r="B1" s="2" t="s">
        <v>82</v>
      </c>
      <c r="C1" s="2" t="s">
        <v>83</v>
      </c>
    </row>
    <row r="2" spans="1:3">
      <c r="A2" t="s">
        <v>0</v>
      </c>
      <c r="B2" s="1">
        <v>50.1</v>
      </c>
      <c r="C2" s="1">
        <v>69.3</v>
      </c>
    </row>
    <row r="3" spans="1:3">
      <c r="A3" t="s">
        <v>87</v>
      </c>
      <c r="B3" s="1">
        <v>56.4</v>
      </c>
      <c r="C3" s="1">
        <v>72.400000000000006</v>
      </c>
    </row>
    <row r="4" spans="1:3">
      <c r="A4" t="s">
        <v>2</v>
      </c>
      <c r="B4" s="1">
        <v>50.5</v>
      </c>
      <c r="C4" s="1">
        <v>70.7</v>
      </c>
    </row>
    <row r="5" spans="1:3">
      <c r="A5" t="s">
        <v>3</v>
      </c>
      <c r="B5" s="1">
        <v>48.8</v>
      </c>
      <c r="C5" s="1">
        <v>70.5</v>
      </c>
    </row>
    <row r="6" spans="1:3">
      <c r="A6" t="s">
        <v>88</v>
      </c>
      <c r="B6" s="1">
        <v>60.1</v>
      </c>
      <c r="C6" s="1">
        <v>76</v>
      </c>
    </row>
    <row r="7" spans="1:3">
      <c r="A7" t="s">
        <v>5</v>
      </c>
      <c r="B7" s="1">
        <v>63.3</v>
      </c>
      <c r="C7" s="1">
        <v>80.3</v>
      </c>
    </row>
    <row r="8" spans="1:3">
      <c r="A8" t="s">
        <v>6</v>
      </c>
      <c r="B8" s="1">
        <v>57</v>
      </c>
      <c r="C8" s="1">
        <v>71.900000000000006</v>
      </c>
    </row>
    <row r="9" spans="1:3">
      <c r="A9" t="s">
        <v>7</v>
      </c>
      <c r="B9" s="1">
        <v>48.3</v>
      </c>
      <c r="C9" s="1">
        <v>69.599999999999994</v>
      </c>
    </row>
    <row r="10" spans="1:3">
      <c r="A10" t="s">
        <v>8</v>
      </c>
      <c r="B10" s="1">
        <v>48.2</v>
      </c>
      <c r="C10" s="1">
        <v>71.2</v>
      </c>
    </row>
    <row r="11" spans="1:3">
      <c r="A11" t="s">
        <v>9</v>
      </c>
      <c r="B11" s="1">
        <v>46.5</v>
      </c>
      <c r="C11" s="1">
        <v>67.2</v>
      </c>
    </row>
    <row r="12" spans="1:3">
      <c r="A12" t="s">
        <v>10</v>
      </c>
      <c r="B12" s="1">
        <v>46.7</v>
      </c>
      <c r="C12" s="1">
        <v>70.3</v>
      </c>
    </row>
    <row r="13" spans="1:3">
      <c r="A13" t="s">
        <v>11</v>
      </c>
      <c r="B13" s="1">
        <v>45.5</v>
      </c>
      <c r="C13" s="1">
        <v>66.400000000000006</v>
      </c>
    </row>
    <row r="14" spans="1:3">
      <c r="A14" t="s">
        <v>12</v>
      </c>
      <c r="B14" s="1">
        <v>45.5</v>
      </c>
      <c r="C14" s="1">
        <v>67.5</v>
      </c>
    </row>
    <row r="15" spans="1:3">
      <c r="A15" t="s">
        <v>13</v>
      </c>
      <c r="B15" s="1">
        <v>45.2</v>
      </c>
      <c r="C15" s="1">
        <v>70.3</v>
      </c>
    </row>
    <row r="16" spans="1:3">
      <c r="A16" t="s">
        <v>14</v>
      </c>
      <c r="B16" s="1">
        <v>50.5</v>
      </c>
      <c r="C16" s="1">
        <v>69</v>
      </c>
    </row>
    <row r="17" spans="1:8">
      <c r="A17" t="s">
        <v>15</v>
      </c>
      <c r="B17" s="1">
        <v>47.6</v>
      </c>
      <c r="C17" s="1">
        <v>66.5</v>
      </c>
    </row>
    <row r="18" spans="1:8">
      <c r="A18" t="s">
        <v>16</v>
      </c>
      <c r="B18" s="1">
        <v>38.700000000000003</v>
      </c>
      <c r="C18" s="1">
        <v>67.099999999999994</v>
      </c>
    </row>
    <row r="19" spans="1:8">
      <c r="A19" t="s">
        <v>17</v>
      </c>
      <c r="B19" s="1">
        <v>44.2</v>
      </c>
      <c r="C19" s="1">
        <v>60.4</v>
      </c>
    </row>
    <row r="20" spans="1:8">
      <c r="A20" t="s">
        <v>18</v>
      </c>
      <c r="B20" s="1">
        <v>43.5</v>
      </c>
      <c r="C20" s="1">
        <v>65.7</v>
      </c>
    </row>
    <row r="21" spans="1:8">
      <c r="A21" t="s">
        <v>19</v>
      </c>
      <c r="B21" s="1">
        <v>47</v>
      </c>
      <c r="C21" s="1">
        <v>68.900000000000006</v>
      </c>
    </row>
    <row r="22" spans="1:8">
      <c r="A22" t="s">
        <v>20</v>
      </c>
      <c r="B22" s="1">
        <v>44.5</v>
      </c>
      <c r="C22" s="1">
        <v>62.7</v>
      </c>
    </row>
    <row r="23" spans="1:8">
      <c r="A23" t="s">
        <v>21</v>
      </c>
      <c r="B23" s="1">
        <v>49</v>
      </c>
      <c r="C23" s="1">
        <v>65.900000000000006</v>
      </c>
    </row>
    <row r="24" spans="1:8">
      <c r="A24" t="s">
        <v>22</v>
      </c>
      <c r="B24" s="1">
        <v>49.1</v>
      </c>
      <c r="C24" s="1">
        <v>69.900000000000006</v>
      </c>
    </row>
    <row r="25" spans="1:8">
      <c r="A25" t="s">
        <v>23</v>
      </c>
      <c r="B25" s="1">
        <v>49.4</v>
      </c>
      <c r="C25" s="1">
        <v>70.2</v>
      </c>
      <c r="H25" s="1"/>
    </row>
    <row r="26" spans="1:8">
      <c r="A26" t="s">
        <v>24</v>
      </c>
      <c r="B26" s="1">
        <v>48.7</v>
      </c>
      <c r="C26" s="1">
        <v>69.400000000000006</v>
      </c>
    </row>
    <row r="27" spans="1:8">
      <c r="A27" t="s">
        <v>25</v>
      </c>
      <c r="B27" s="1">
        <v>45.7</v>
      </c>
      <c r="C27" s="1">
        <v>69.7</v>
      </c>
    </row>
    <row r="28" spans="1:8">
      <c r="A28" t="s">
        <v>26</v>
      </c>
      <c r="B28" s="1">
        <v>43.8</v>
      </c>
      <c r="C28" s="1">
        <v>64.900000000000006</v>
      </c>
    </row>
    <row r="29" spans="1:8">
      <c r="A29" t="s">
        <v>27</v>
      </c>
      <c r="B29" s="1">
        <v>43</v>
      </c>
      <c r="C29" s="1">
        <v>65.5</v>
      </c>
    </row>
    <row r="30" spans="1:8">
      <c r="A30" t="s">
        <v>28</v>
      </c>
      <c r="B30" s="1">
        <v>45.6</v>
      </c>
      <c r="C30" s="1">
        <v>63.5</v>
      </c>
    </row>
    <row r="31" spans="1:8">
      <c r="A31" t="s">
        <v>29</v>
      </c>
      <c r="B31" s="1">
        <v>46.6</v>
      </c>
      <c r="C31" s="1">
        <v>68.2</v>
      </c>
    </row>
  </sheetData>
  <sortState xmlns:xlrd2="http://schemas.microsoft.com/office/spreadsheetml/2017/richdata2" ref="G2:H31">
    <sortCondition descending="1" ref="H2:H3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6769D-C30C-F744-9FB5-8DB7606AF9B3}">
  <dimension ref="A1:M46"/>
  <sheetViews>
    <sheetView zoomScale="117" workbookViewId="0">
      <selection activeCell="B3" sqref="B3:G22"/>
    </sheetView>
  </sheetViews>
  <sheetFormatPr baseColWidth="10" defaultRowHeight="15"/>
  <sheetData>
    <row r="1" spans="1:9" s="54" customFormat="1">
      <c r="A1" s="54" t="s">
        <v>227</v>
      </c>
      <c r="B1" s="53"/>
    </row>
    <row r="2" spans="1:9">
      <c r="B2" s="2" t="s">
        <v>84</v>
      </c>
      <c r="C2" s="68" t="s">
        <v>228</v>
      </c>
      <c r="D2" s="55"/>
      <c r="F2" s="2" t="s">
        <v>84</v>
      </c>
      <c r="G2" s="68" t="s">
        <v>82</v>
      </c>
      <c r="H2" s="55"/>
      <c r="I2" s="55"/>
    </row>
    <row r="3" spans="1:9">
      <c r="A3">
        <v>1</v>
      </c>
      <c r="B3" t="s">
        <v>13</v>
      </c>
      <c r="C3" s="49">
        <v>0.95312356761776096</v>
      </c>
      <c r="E3">
        <v>1</v>
      </c>
      <c r="F3" t="s">
        <v>6</v>
      </c>
      <c r="G3" s="1">
        <v>57</v>
      </c>
    </row>
    <row r="4" spans="1:9">
      <c r="A4">
        <v>2</v>
      </c>
      <c r="B4" t="s">
        <v>9</v>
      </c>
      <c r="C4" s="49">
        <v>0.94937661722728395</v>
      </c>
      <c r="E4">
        <v>2</v>
      </c>
      <c r="F4" t="s">
        <v>87</v>
      </c>
      <c r="G4" s="1">
        <v>56.4</v>
      </c>
    </row>
    <row r="5" spans="1:9">
      <c r="A5">
        <v>3</v>
      </c>
      <c r="B5" t="s">
        <v>3</v>
      </c>
      <c r="C5" s="49">
        <v>0.94780577837106061</v>
      </c>
      <c r="E5">
        <v>3</v>
      </c>
      <c r="F5" t="s">
        <v>2</v>
      </c>
      <c r="G5" s="1">
        <v>50.5</v>
      </c>
    </row>
    <row r="6" spans="1:9">
      <c r="A6">
        <v>4</v>
      </c>
      <c r="B6" t="s">
        <v>7</v>
      </c>
      <c r="C6" s="49">
        <v>0.7098534591590332</v>
      </c>
      <c r="E6">
        <v>4</v>
      </c>
      <c r="F6" t="s">
        <v>14</v>
      </c>
      <c r="G6" s="1">
        <v>50.5</v>
      </c>
    </row>
    <row r="7" spans="1:9">
      <c r="A7">
        <v>5</v>
      </c>
      <c r="B7" t="s">
        <v>87</v>
      </c>
      <c r="C7" s="49">
        <v>0.70639452403432446</v>
      </c>
      <c r="E7">
        <v>5</v>
      </c>
      <c r="F7" t="s">
        <v>0</v>
      </c>
      <c r="G7" s="1">
        <v>50.1</v>
      </c>
    </row>
    <row r="8" spans="1:9">
      <c r="A8">
        <v>6</v>
      </c>
      <c r="B8" t="s">
        <v>12</v>
      </c>
      <c r="C8" s="49">
        <v>0.62537317533496362</v>
      </c>
      <c r="E8">
        <v>6</v>
      </c>
      <c r="F8" t="s">
        <v>21</v>
      </c>
      <c r="G8" s="1">
        <v>49</v>
      </c>
    </row>
    <row r="9" spans="1:9">
      <c r="A9">
        <v>7</v>
      </c>
      <c r="B9" t="s">
        <v>8</v>
      </c>
      <c r="C9" s="49">
        <v>0.53043842365781535</v>
      </c>
      <c r="E9">
        <v>7</v>
      </c>
      <c r="F9" t="s">
        <v>3</v>
      </c>
      <c r="G9" s="1">
        <v>48.8</v>
      </c>
    </row>
    <row r="10" spans="1:9">
      <c r="A10">
        <v>8</v>
      </c>
      <c r="B10" t="s">
        <v>10</v>
      </c>
      <c r="C10" s="49">
        <v>0.43931813767122158</v>
      </c>
      <c r="E10">
        <v>8</v>
      </c>
      <c r="F10" t="s">
        <v>7</v>
      </c>
      <c r="G10" s="1">
        <v>48.3</v>
      </c>
    </row>
    <row r="11" spans="1:9">
      <c r="A11">
        <v>9</v>
      </c>
      <c r="B11" t="s">
        <v>11</v>
      </c>
      <c r="C11" s="49">
        <v>0.39975896665928368</v>
      </c>
      <c r="E11">
        <v>9</v>
      </c>
      <c r="F11" t="s">
        <v>8</v>
      </c>
      <c r="G11" s="1">
        <v>48.2</v>
      </c>
    </row>
    <row r="12" spans="1:9">
      <c r="A12">
        <v>10</v>
      </c>
      <c r="B12" t="s">
        <v>0</v>
      </c>
      <c r="C12" s="49">
        <v>0.32932340801705501</v>
      </c>
      <c r="E12">
        <v>10</v>
      </c>
      <c r="F12" t="s">
        <v>15</v>
      </c>
      <c r="G12" s="1">
        <v>47.6</v>
      </c>
    </row>
    <row r="13" spans="1:9">
      <c r="A13">
        <v>11</v>
      </c>
      <c r="B13" t="s">
        <v>4</v>
      </c>
      <c r="C13" s="49">
        <v>0.18828117589548854</v>
      </c>
      <c r="E13">
        <v>11</v>
      </c>
      <c r="F13" t="s">
        <v>19</v>
      </c>
      <c r="G13" s="1">
        <v>47</v>
      </c>
    </row>
    <row r="14" spans="1:9">
      <c r="A14">
        <v>12</v>
      </c>
      <c r="B14" t="s">
        <v>15</v>
      </c>
      <c r="C14" s="49">
        <v>-7.1156341438147863E-2</v>
      </c>
      <c r="E14">
        <v>12</v>
      </c>
      <c r="F14" t="s">
        <v>10</v>
      </c>
      <c r="G14" s="1">
        <v>46.7</v>
      </c>
    </row>
    <row r="15" spans="1:9">
      <c r="A15">
        <v>13</v>
      </c>
      <c r="B15" t="s">
        <v>2</v>
      </c>
      <c r="C15" s="49">
        <v>-0.12000626857622519</v>
      </c>
      <c r="E15">
        <v>13</v>
      </c>
      <c r="F15" t="s">
        <v>9</v>
      </c>
      <c r="G15" s="1">
        <v>46.5</v>
      </c>
    </row>
    <row r="16" spans="1:9">
      <c r="A16">
        <v>14</v>
      </c>
      <c r="B16" t="s">
        <v>14</v>
      </c>
      <c r="C16" s="49">
        <v>-0.21558624511056382</v>
      </c>
      <c r="E16">
        <v>14</v>
      </c>
      <c r="F16" t="s">
        <v>11</v>
      </c>
      <c r="G16" s="1">
        <v>45.5</v>
      </c>
    </row>
    <row r="17" spans="1:13">
      <c r="A17">
        <v>15</v>
      </c>
      <c r="B17" t="s">
        <v>21</v>
      </c>
      <c r="C17" s="49">
        <v>-0.52046852128184351</v>
      </c>
      <c r="E17">
        <v>15</v>
      </c>
      <c r="F17" t="s">
        <v>12</v>
      </c>
      <c r="G17" s="1">
        <v>45.5</v>
      </c>
    </row>
    <row r="18" spans="1:13">
      <c r="A18">
        <v>16</v>
      </c>
      <c r="B18" t="s">
        <v>16</v>
      </c>
      <c r="C18" s="49">
        <v>-1.0553848233233003</v>
      </c>
      <c r="E18">
        <v>16</v>
      </c>
      <c r="F18" t="s">
        <v>13</v>
      </c>
      <c r="G18" s="1">
        <v>45.2</v>
      </c>
    </row>
    <row r="19" spans="1:13">
      <c r="A19">
        <v>17</v>
      </c>
      <c r="B19" t="s">
        <v>18</v>
      </c>
      <c r="C19" s="49">
        <v>-1.0786196689438503</v>
      </c>
      <c r="E19">
        <v>17</v>
      </c>
      <c r="F19" t="s">
        <v>20</v>
      </c>
      <c r="G19" s="1">
        <v>44.5</v>
      </c>
    </row>
    <row r="20" spans="1:13">
      <c r="A20">
        <v>18</v>
      </c>
      <c r="B20" t="s">
        <v>19</v>
      </c>
      <c r="C20" s="49">
        <v>-1.2601795085435517</v>
      </c>
      <c r="E20">
        <v>18</v>
      </c>
      <c r="F20" t="s">
        <v>17</v>
      </c>
      <c r="G20" s="1">
        <v>44.2</v>
      </c>
    </row>
    <row r="21" spans="1:13">
      <c r="A21">
        <v>19</v>
      </c>
      <c r="B21" t="s">
        <v>17</v>
      </c>
      <c r="C21" s="49">
        <v>-1.3284760462081611</v>
      </c>
      <c r="E21">
        <v>19</v>
      </c>
      <c r="F21" t="s">
        <v>18</v>
      </c>
      <c r="G21" s="1">
        <v>43.5</v>
      </c>
    </row>
    <row r="22" spans="1:13">
      <c r="A22">
        <v>20</v>
      </c>
      <c r="B22" t="s">
        <v>20</v>
      </c>
      <c r="C22" s="49">
        <v>-1.701673355590303</v>
      </c>
      <c r="E22">
        <v>20</v>
      </c>
      <c r="F22" t="s">
        <v>16</v>
      </c>
      <c r="G22" s="1">
        <v>38.700000000000003</v>
      </c>
    </row>
    <row r="23" spans="1:13">
      <c r="J23" s="47"/>
    </row>
    <row r="24" spans="1:13" s="54" customFormat="1">
      <c r="A24" s="54" t="s">
        <v>229</v>
      </c>
    </row>
    <row r="25" spans="1:13">
      <c r="A25" s="47" t="s">
        <v>84</v>
      </c>
      <c r="B25" s="47" t="s">
        <v>82</v>
      </c>
      <c r="C25" t="s">
        <v>208</v>
      </c>
      <c r="D25" t="s">
        <v>224</v>
      </c>
      <c r="E25" t="s">
        <v>225</v>
      </c>
      <c r="I25" s="47"/>
      <c r="J25" s="68" t="s">
        <v>226</v>
      </c>
      <c r="K25" s="55"/>
    </row>
    <row r="26" spans="1:13">
      <c r="A26" s="44" t="s">
        <v>0</v>
      </c>
      <c r="B26" s="46">
        <v>50.1</v>
      </c>
      <c r="C26" s="49">
        <v>0.32932340801705501</v>
      </c>
      <c r="D26">
        <f t="shared" ref="D26:D45" si="0">_xlfn.RANK.AVG(C26,C$26:C$45)</f>
        <v>10</v>
      </c>
      <c r="E26">
        <f t="shared" ref="E26:E45" si="1">_xlfn.RANK.AVG(B26,B$26:B$45)</f>
        <v>5</v>
      </c>
      <c r="I26" s="47"/>
      <c r="J26" s="49" t="s">
        <v>209</v>
      </c>
      <c r="K26" s="49">
        <f>CORREL(D26:D45,E26:E45)</f>
        <v>0.24830706803519542</v>
      </c>
      <c r="M26" t="s">
        <v>237</v>
      </c>
    </row>
    <row r="27" spans="1:13">
      <c r="A27" s="44" t="s">
        <v>87</v>
      </c>
      <c r="B27" s="46">
        <v>56.4</v>
      </c>
      <c r="C27" s="49">
        <v>0.70639452403432446</v>
      </c>
      <c r="D27">
        <f t="shared" si="0"/>
        <v>5</v>
      </c>
      <c r="E27">
        <f t="shared" si="1"/>
        <v>2</v>
      </c>
      <c r="J27" s="49" t="s">
        <v>147</v>
      </c>
      <c r="K27" s="49">
        <f>1/2 + (2-1)/2 * 0.2489</f>
        <v>0.62444999999999995</v>
      </c>
      <c r="M27" t="s">
        <v>238</v>
      </c>
    </row>
    <row r="28" spans="1:13">
      <c r="A28" s="44" t="s">
        <v>2</v>
      </c>
      <c r="B28" s="46">
        <v>50.5</v>
      </c>
      <c r="C28" s="49">
        <v>-0.12000626857622519</v>
      </c>
      <c r="D28">
        <f t="shared" si="0"/>
        <v>13</v>
      </c>
      <c r="E28">
        <f t="shared" si="1"/>
        <v>3.5</v>
      </c>
    </row>
    <row r="29" spans="1:13">
      <c r="A29" s="44" t="s">
        <v>3</v>
      </c>
      <c r="B29" s="46">
        <v>48.8</v>
      </c>
      <c r="C29" s="49">
        <v>0.94780577837106061</v>
      </c>
      <c r="D29">
        <f t="shared" si="0"/>
        <v>3</v>
      </c>
      <c r="E29">
        <f t="shared" si="1"/>
        <v>7</v>
      </c>
    </row>
    <row r="30" spans="1:13">
      <c r="A30" s="44" t="s">
        <v>6</v>
      </c>
      <c r="B30" s="46">
        <v>57</v>
      </c>
      <c r="C30" s="49">
        <v>0.18828117589548854</v>
      </c>
      <c r="D30">
        <f t="shared" si="0"/>
        <v>11</v>
      </c>
      <c r="E30">
        <f t="shared" si="1"/>
        <v>1</v>
      </c>
    </row>
    <row r="31" spans="1:13">
      <c r="A31" s="44" t="s">
        <v>7</v>
      </c>
      <c r="B31" s="46">
        <v>48.3</v>
      </c>
      <c r="C31" s="49">
        <v>0.7098534591590332</v>
      </c>
      <c r="D31">
        <f t="shared" si="0"/>
        <v>4</v>
      </c>
      <c r="E31">
        <f t="shared" si="1"/>
        <v>8</v>
      </c>
    </row>
    <row r="32" spans="1:13">
      <c r="A32" s="44" t="s">
        <v>8</v>
      </c>
      <c r="B32" s="46">
        <v>48.2</v>
      </c>
      <c r="C32" s="49">
        <v>0.53043842365781535</v>
      </c>
      <c r="D32">
        <f t="shared" si="0"/>
        <v>7</v>
      </c>
      <c r="E32">
        <f t="shared" si="1"/>
        <v>9</v>
      </c>
    </row>
    <row r="33" spans="1:5">
      <c r="A33" s="44" t="s">
        <v>9</v>
      </c>
      <c r="B33" s="46">
        <v>46.5</v>
      </c>
      <c r="C33" s="49">
        <v>0.94937661722728395</v>
      </c>
      <c r="D33">
        <f t="shared" si="0"/>
        <v>2</v>
      </c>
      <c r="E33">
        <f t="shared" si="1"/>
        <v>13</v>
      </c>
    </row>
    <row r="34" spans="1:5">
      <c r="A34" s="44" t="s">
        <v>10</v>
      </c>
      <c r="B34" s="46">
        <v>46.7</v>
      </c>
      <c r="C34" s="49">
        <v>0.43931813767122158</v>
      </c>
      <c r="D34">
        <f t="shared" si="0"/>
        <v>8</v>
      </c>
      <c r="E34">
        <f t="shared" si="1"/>
        <v>12</v>
      </c>
    </row>
    <row r="35" spans="1:5">
      <c r="A35" s="44" t="s">
        <v>11</v>
      </c>
      <c r="B35" s="46">
        <v>45.5</v>
      </c>
      <c r="C35" s="49">
        <v>0.39975896665928368</v>
      </c>
      <c r="D35">
        <f t="shared" si="0"/>
        <v>9</v>
      </c>
      <c r="E35">
        <f t="shared" si="1"/>
        <v>14.5</v>
      </c>
    </row>
    <row r="36" spans="1:5">
      <c r="A36" s="44" t="s">
        <v>12</v>
      </c>
      <c r="B36" s="46">
        <v>45.5</v>
      </c>
      <c r="C36" s="49">
        <v>0.62537317533496362</v>
      </c>
      <c r="D36">
        <f t="shared" si="0"/>
        <v>6</v>
      </c>
      <c r="E36">
        <f t="shared" si="1"/>
        <v>14.5</v>
      </c>
    </row>
    <row r="37" spans="1:5">
      <c r="A37" s="44" t="s">
        <v>13</v>
      </c>
      <c r="B37" s="46">
        <v>45.2</v>
      </c>
      <c r="C37" s="49">
        <v>0.95312356761776096</v>
      </c>
      <c r="D37">
        <f t="shared" si="0"/>
        <v>1</v>
      </c>
      <c r="E37">
        <f t="shared" si="1"/>
        <v>16</v>
      </c>
    </row>
    <row r="38" spans="1:5">
      <c r="A38" s="44" t="s">
        <v>14</v>
      </c>
      <c r="B38" s="46">
        <v>50.5</v>
      </c>
      <c r="C38" s="49">
        <v>-0.21558624511056382</v>
      </c>
      <c r="D38">
        <f t="shared" si="0"/>
        <v>14</v>
      </c>
      <c r="E38">
        <f t="shared" si="1"/>
        <v>3.5</v>
      </c>
    </row>
    <row r="39" spans="1:5">
      <c r="A39" s="44" t="s">
        <v>15</v>
      </c>
      <c r="B39" s="46">
        <v>47.6</v>
      </c>
      <c r="C39" s="49">
        <v>-7.1156341438147863E-2</v>
      </c>
      <c r="D39">
        <f t="shared" si="0"/>
        <v>12</v>
      </c>
      <c r="E39">
        <f t="shared" si="1"/>
        <v>10</v>
      </c>
    </row>
    <row r="40" spans="1:5">
      <c r="A40" s="44" t="s">
        <v>16</v>
      </c>
      <c r="B40" s="46">
        <v>38.700000000000003</v>
      </c>
      <c r="C40" s="49">
        <v>-1.0553848233233003</v>
      </c>
      <c r="D40">
        <f t="shared" si="0"/>
        <v>16</v>
      </c>
      <c r="E40">
        <f t="shared" si="1"/>
        <v>20</v>
      </c>
    </row>
    <row r="41" spans="1:5">
      <c r="A41" s="44" t="s">
        <v>17</v>
      </c>
      <c r="B41" s="46">
        <v>44.2</v>
      </c>
      <c r="C41" s="49">
        <v>-1.3284760462081611</v>
      </c>
      <c r="D41">
        <f t="shared" si="0"/>
        <v>19</v>
      </c>
      <c r="E41">
        <f t="shared" si="1"/>
        <v>18</v>
      </c>
    </row>
    <row r="42" spans="1:5">
      <c r="A42" s="44" t="s">
        <v>18</v>
      </c>
      <c r="B42" s="46">
        <v>43.5</v>
      </c>
      <c r="C42" s="49">
        <v>-1.0786196689438503</v>
      </c>
      <c r="D42">
        <f t="shared" si="0"/>
        <v>17</v>
      </c>
      <c r="E42">
        <f t="shared" si="1"/>
        <v>19</v>
      </c>
    </row>
    <row r="43" spans="1:5">
      <c r="A43" s="44" t="s">
        <v>19</v>
      </c>
      <c r="B43" s="46">
        <v>47</v>
      </c>
      <c r="C43" s="49">
        <v>-1.2601795085435517</v>
      </c>
      <c r="D43">
        <f t="shared" si="0"/>
        <v>18</v>
      </c>
      <c r="E43">
        <f t="shared" si="1"/>
        <v>11</v>
      </c>
    </row>
    <row r="44" spans="1:5">
      <c r="A44" s="44" t="s">
        <v>20</v>
      </c>
      <c r="B44" s="46">
        <v>44.5</v>
      </c>
      <c r="C44" s="49">
        <v>-1.701673355590303</v>
      </c>
      <c r="D44">
        <f t="shared" si="0"/>
        <v>20</v>
      </c>
      <c r="E44">
        <f t="shared" si="1"/>
        <v>17</v>
      </c>
    </row>
    <row r="45" spans="1:5">
      <c r="A45" s="44" t="s">
        <v>21</v>
      </c>
      <c r="B45" s="46">
        <v>49</v>
      </c>
      <c r="C45" s="49">
        <v>-0.52046852128184351</v>
      </c>
      <c r="D45">
        <f t="shared" si="0"/>
        <v>15</v>
      </c>
      <c r="E45">
        <f t="shared" si="1"/>
        <v>6</v>
      </c>
    </row>
    <row r="46" spans="1:5">
      <c r="A46" s="44"/>
      <c r="B46" s="46"/>
    </row>
  </sheetData>
  <sortState xmlns:xlrd2="http://schemas.microsoft.com/office/spreadsheetml/2017/richdata2" ref="J24:K44">
    <sortCondition descending="1" ref="K24:K44"/>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5DFB4-EA46-5E46-BBB6-60EF90A2CE3C}">
  <dimension ref="A1:Y62"/>
  <sheetViews>
    <sheetView topLeftCell="A25" workbookViewId="0">
      <selection activeCell="B34" sqref="B34"/>
    </sheetView>
  </sheetViews>
  <sheetFormatPr baseColWidth="10" defaultRowHeight="15"/>
  <sheetData>
    <row r="1" spans="1:25" s="54" customFormat="1">
      <c r="A1" s="54" t="s">
        <v>232</v>
      </c>
    </row>
    <row r="2" spans="1:25">
      <c r="A2" s="46" t="s">
        <v>84</v>
      </c>
      <c r="B2" s="46" t="s">
        <v>32</v>
      </c>
      <c r="C2" s="46" t="s">
        <v>139</v>
      </c>
      <c r="D2" s="46" t="s">
        <v>140</v>
      </c>
      <c r="E2" s="46" t="s">
        <v>49</v>
      </c>
      <c r="F2" s="46" t="s">
        <v>50</v>
      </c>
      <c r="G2" s="46" t="s">
        <v>46</v>
      </c>
      <c r="H2" s="46" t="s">
        <v>37</v>
      </c>
      <c r="L2" s="65" t="s">
        <v>173</v>
      </c>
      <c r="M2" t="s">
        <v>167</v>
      </c>
    </row>
    <row r="3" spans="1:25">
      <c r="A3" s="44" t="s">
        <v>23</v>
      </c>
      <c r="B3" s="44">
        <v>38.299999999999997</v>
      </c>
      <c r="C3" s="44">
        <v>65.7</v>
      </c>
      <c r="D3" s="44">
        <v>64.400000000000006</v>
      </c>
      <c r="E3" s="44">
        <v>39</v>
      </c>
      <c r="F3" s="44">
        <v>42.4</v>
      </c>
      <c r="G3" s="44">
        <v>51.7</v>
      </c>
      <c r="H3" s="44">
        <v>33.4</v>
      </c>
      <c r="L3" s="46" t="s">
        <v>84</v>
      </c>
      <c r="M3" s="46" t="s">
        <v>32</v>
      </c>
      <c r="N3" s="46" t="s">
        <v>139</v>
      </c>
      <c r="O3" s="46" t="s">
        <v>140</v>
      </c>
      <c r="P3" s="46" t="s">
        <v>49</v>
      </c>
      <c r="Q3" s="46" t="s">
        <v>50</v>
      </c>
      <c r="R3" s="46" t="s">
        <v>46</v>
      </c>
      <c r="S3" s="46" t="s">
        <v>37</v>
      </c>
      <c r="U3" t="s">
        <v>174</v>
      </c>
      <c r="V3" s="46" t="s">
        <v>168</v>
      </c>
      <c r="X3" s="46" t="s">
        <v>84</v>
      </c>
      <c r="Y3" s="46" t="s">
        <v>168</v>
      </c>
    </row>
    <row r="4" spans="1:25">
      <c r="A4" s="44" t="s">
        <v>24</v>
      </c>
      <c r="B4" s="44">
        <v>40.6</v>
      </c>
      <c r="C4" s="44">
        <v>64.5</v>
      </c>
      <c r="D4" s="44">
        <v>58.6</v>
      </c>
      <c r="E4" s="44">
        <v>39.299999999999997</v>
      </c>
      <c r="F4" s="44">
        <v>43.3</v>
      </c>
      <c r="G4" s="44">
        <v>50.8</v>
      </c>
      <c r="H4" s="44">
        <v>32.299999999999997</v>
      </c>
      <c r="L4" s="44" t="s">
        <v>23</v>
      </c>
      <c r="M4" s="49">
        <f>B10/B$21</f>
        <v>0.54761429898980019</v>
      </c>
      <c r="N4" s="49">
        <f>C10/C$21</f>
        <v>0.6985270526462235</v>
      </c>
      <c r="O4" s="49">
        <f t="shared" ref="O4:S8" si="0">D10/D$21</f>
        <v>0.78798041242936667</v>
      </c>
      <c r="P4" s="49">
        <f t="shared" si="0"/>
        <v>0.68493488921877466</v>
      </c>
      <c r="Q4" s="49">
        <f t="shared" si="0"/>
        <v>0.83339654697901344</v>
      </c>
      <c r="R4" s="49">
        <f t="shared" si="0"/>
        <v>0.80385165765482336</v>
      </c>
      <c r="S4" s="49">
        <f t="shared" si="0"/>
        <v>0.58335865326881509</v>
      </c>
      <c r="T4" s="49"/>
      <c r="U4" s="49">
        <f>SUM(M4:S4)/7</f>
        <v>0.70566621588383094</v>
      </c>
      <c r="V4">
        <f>_xlfn.RANK.AVG(U4,U$4:U$8,1)</f>
        <v>5</v>
      </c>
      <c r="X4" s="44" t="s">
        <v>23</v>
      </c>
      <c r="Y4">
        <v>5</v>
      </c>
    </row>
    <row r="5" spans="1:25">
      <c r="A5" s="44" t="s">
        <v>25</v>
      </c>
      <c r="B5" s="44">
        <v>39.1</v>
      </c>
      <c r="C5" s="44">
        <v>54.4</v>
      </c>
      <c r="D5" s="44">
        <v>44</v>
      </c>
      <c r="E5" s="44">
        <v>38.200000000000003</v>
      </c>
      <c r="F5" s="44">
        <v>37.200000000000003</v>
      </c>
      <c r="G5" s="44">
        <v>49.9</v>
      </c>
      <c r="H5" s="44">
        <v>35.5</v>
      </c>
      <c r="L5" s="44" t="s">
        <v>24</v>
      </c>
      <c r="M5" s="49">
        <f t="shared" ref="M5:M8" si="1">B11/B$21</f>
        <v>0.95390877888546</v>
      </c>
      <c r="N5" s="49">
        <f t="shared" ref="N5:N8" si="2">C11/C$21</f>
        <v>0.50358927051239344</v>
      </c>
      <c r="O5" s="49">
        <f t="shared" si="0"/>
        <v>0.21669461341807592</v>
      </c>
      <c r="P5" s="49">
        <f t="shared" si="0"/>
        <v>0.73900869626236165</v>
      </c>
      <c r="Q5" s="49">
        <f t="shared" si="0"/>
        <v>0.94210044441105845</v>
      </c>
      <c r="R5" s="49">
        <f t="shared" si="0"/>
        <v>0.67911605560493626</v>
      </c>
      <c r="S5" s="49">
        <f t="shared" si="0"/>
        <v>0.35418203948463717</v>
      </c>
      <c r="T5" s="49"/>
      <c r="U5" s="49">
        <f t="shared" ref="U5:U8" si="3">SUM(M5:S5)/7</f>
        <v>0.62694284265413192</v>
      </c>
      <c r="V5">
        <f t="shared" ref="V5:V8" si="4">_xlfn.RANK.AVG(U5,U$4:U$8,1)</f>
        <v>4</v>
      </c>
      <c r="X5" s="44" t="s">
        <v>24</v>
      </c>
      <c r="Y5">
        <v>4</v>
      </c>
    </row>
    <row r="6" spans="1:25">
      <c r="A6" s="44" t="s">
        <v>27</v>
      </c>
      <c r="B6" s="44">
        <v>25.7</v>
      </c>
      <c r="C6" s="44">
        <v>50.8</v>
      </c>
      <c r="D6" s="44">
        <v>39.299999999999997</v>
      </c>
      <c r="E6" s="44">
        <v>28.9</v>
      </c>
      <c r="F6" s="44">
        <v>23.7</v>
      </c>
      <c r="G6" s="44">
        <v>35.799999999999997</v>
      </c>
      <c r="H6" s="44">
        <v>26</v>
      </c>
      <c r="L6" s="44" t="s">
        <v>25</v>
      </c>
      <c r="M6" s="49">
        <f>B12/B$21</f>
        <v>0.68893411808394323</v>
      </c>
      <c r="N6" s="49">
        <f t="shared" si="2"/>
        <v>-1.1371370624473396</v>
      </c>
      <c r="O6" s="49">
        <f t="shared" si="0"/>
        <v>-1.2213696392655171</v>
      </c>
      <c r="P6" s="49">
        <f t="shared" si="0"/>
        <v>0.54073807043587507</v>
      </c>
      <c r="Q6" s="49">
        <f t="shared" si="0"/>
        <v>0.20532958403830803</v>
      </c>
      <c r="R6" s="49">
        <f t="shared" si="0"/>
        <v>0.55438045355505017</v>
      </c>
      <c r="S6" s="49">
        <f t="shared" si="0"/>
        <v>1.0208776432204272</v>
      </c>
      <c r="T6" s="49"/>
      <c r="U6" s="49">
        <f t="shared" si="3"/>
        <v>9.3107595374392421E-2</v>
      </c>
      <c r="V6">
        <f t="shared" si="4"/>
        <v>3</v>
      </c>
      <c r="X6" s="44" t="s">
        <v>25</v>
      </c>
      <c r="Y6">
        <v>3</v>
      </c>
    </row>
    <row r="7" spans="1:25">
      <c r="A7" s="44" t="s">
        <v>28</v>
      </c>
      <c r="B7" s="44">
        <v>31.2</v>
      </c>
      <c r="C7" s="44">
        <v>61.5</v>
      </c>
      <c r="D7" s="44">
        <v>55.8</v>
      </c>
      <c r="E7" s="44">
        <v>26.6</v>
      </c>
      <c r="F7" s="44">
        <v>25.9</v>
      </c>
      <c r="G7" s="44">
        <v>36.700000000000003</v>
      </c>
      <c r="H7" s="44">
        <v>22.9</v>
      </c>
      <c r="L7" s="44" t="s">
        <v>27</v>
      </c>
      <c r="M7" s="49">
        <f t="shared" si="1"/>
        <v>-1.67817285174294</v>
      </c>
      <c r="N7" s="49">
        <f t="shared" si="2"/>
        <v>-1.7219504088488287</v>
      </c>
      <c r="O7" s="49">
        <f t="shared" si="0"/>
        <v>-1.6843081315677699</v>
      </c>
      <c r="P7" s="49">
        <f t="shared" si="0"/>
        <v>-1.1355499479153386</v>
      </c>
      <c r="Q7" s="49">
        <f t="shared" si="0"/>
        <v>-1.4252288774423711</v>
      </c>
      <c r="R7" s="49">
        <f t="shared" si="0"/>
        <v>-1.399810645226502</v>
      </c>
      <c r="S7" s="49">
        <f t="shared" si="0"/>
        <v>-0.95837493037019739</v>
      </c>
      <c r="T7" s="49"/>
      <c r="U7" s="49">
        <f t="shared" si="3"/>
        <v>-1.4290565418734211</v>
      </c>
      <c r="V7">
        <f t="shared" si="4"/>
        <v>1</v>
      </c>
      <c r="X7" s="44" t="s">
        <v>28</v>
      </c>
      <c r="Y7">
        <v>2</v>
      </c>
    </row>
    <row r="8" spans="1:25">
      <c r="A8" s="44" t="s">
        <v>29</v>
      </c>
      <c r="B8" s="44">
        <v>35.200000000000003</v>
      </c>
      <c r="C8" s="44">
        <v>61.4</v>
      </c>
      <c r="D8" s="44">
        <v>56.4</v>
      </c>
      <c r="E8" s="44">
        <v>35.200000000000003</v>
      </c>
      <c r="F8" s="44">
        <v>35.5</v>
      </c>
      <c r="G8" s="44">
        <v>45.9</v>
      </c>
      <c r="H8" s="44">
        <v>30.6</v>
      </c>
      <c r="L8" s="44" t="s">
        <v>28</v>
      </c>
      <c r="M8" s="49">
        <f t="shared" si="1"/>
        <v>-0.70659909547071187</v>
      </c>
      <c r="N8" s="49">
        <f t="shared" si="2"/>
        <v>1.6244815177819366E-2</v>
      </c>
      <c r="O8" s="49">
        <f t="shared" si="0"/>
        <v>-5.9098530932202589E-2</v>
      </c>
      <c r="P8" s="49">
        <f t="shared" si="0"/>
        <v>-1.5501158019161756</v>
      </c>
      <c r="Q8" s="49">
        <f t="shared" si="0"/>
        <v>-1.1595082392751495</v>
      </c>
      <c r="R8" s="49">
        <f t="shared" si="0"/>
        <v>-1.2750750431766149</v>
      </c>
      <c r="S8" s="49">
        <f t="shared" si="0"/>
        <v>-1.6042362964892436</v>
      </c>
      <c r="T8" s="49"/>
      <c r="U8" s="49">
        <f t="shared" si="3"/>
        <v>-0.90548402744032563</v>
      </c>
      <c r="V8">
        <f t="shared" si="4"/>
        <v>2</v>
      </c>
      <c r="X8" s="44" t="s">
        <v>27</v>
      </c>
      <c r="Y8">
        <v>1</v>
      </c>
    </row>
    <row r="9" spans="1:25">
      <c r="A9" s="44" t="s">
        <v>230</v>
      </c>
    </row>
    <row r="10" spans="1:25">
      <c r="A10" s="44" t="s">
        <v>23</v>
      </c>
      <c r="B10">
        <f>B3-B$8</f>
        <v>3.0999999999999943</v>
      </c>
      <c r="C10">
        <f t="shared" ref="C10:G10" si="5">C3-C$8</f>
        <v>4.3000000000000043</v>
      </c>
      <c r="D10">
        <f t="shared" si="5"/>
        <v>8.0000000000000071</v>
      </c>
      <c r="E10">
        <f t="shared" si="5"/>
        <v>3.7999999999999972</v>
      </c>
      <c r="F10">
        <f t="shared" si="5"/>
        <v>6.8999999999999986</v>
      </c>
      <c r="G10">
        <f t="shared" si="5"/>
        <v>5.8000000000000043</v>
      </c>
      <c r="H10">
        <f>H3-H$8</f>
        <v>2.7999999999999972</v>
      </c>
    </row>
    <row r="11" spans="1:25">
      <c r="A11" s="44" t="s">
        <v>24</v>
      </c>
      <c r="B11">
        <f t="shared" ref="B11:H11" si="6">B4-B$8</f>
        <v>5.3999999999999986</v>
      </c>
      <c r="C11">
        <f t="shared" si="6"/>
        <v>3.1000000000000014</v>
      </c>
      <c r="D11">
        <f t="shared" si="6"/>
        <v>2.2000000000000028</v>
      </c>
      <c r="E11">
        <f t="shared" si="6"/>
        <v>4.0999999999999943</v>
      </c>
      <c r="F11">
        <f t="shared" si="6"/>
        <v>7.7999999999999972</v>
      </c>
      <c r="G11">
        <f t="shared" si="6"/>
        <v>4.8999999999999986</v>
      </c>
      <c r="H11">
        <f t="shared" si="6"/>
        <v>1.6999999999999957</v>
      </c>
    </row>
    <row r="12" spans="1:25">
      <c r="A12" s="44" t="s">
        <v>25</v>
      </c>
      <c r="B12">
        <f>B5-B$8</f>
        <v>3.8999999999999986</v>
      </c>
      <c r="C12">
        <f t="shared" ref="C12:H12" si="7">C5-C$8</f>
        <v>-7</v>
      </c>
      <c r="D12">
        <f t="shared" si="7"/>
        <v>-12.399999999999999</v>
      </c>
      <c r="E12">
        <f t="shared" si="7"/>
        <v>3</v>
      </c>
      <c r="F12">
        <f t="shared" si="7"/>
        <v>1.7000000000000028</v>
      </c>
      <c r="G12">
        <f t="shared" si="7"/>
        <v>4</v>
      </c>
      <c r="H12">
        <f t="shared" si="7"/>
        <v>4.8999999999999986</v>
      </c>
    </row>
    <row r="13" spans="1:25">
      <c r="A13" s="44" t="s">
        <v>27</v>
      </c>
      <c r="B13">
        <f t="shared" ref="B13:H13" si="8">B6-B$8</f>
        <v>-9.5000000000000036</v>
      </c>
      <c r="C13">
        <f t="shared" si="8"/>
        <v>-10.600000000000001</v>
      </c>
      <c r="D13">
        <f t="shared" si="8"/>
        <v>-17.100000000000001</v>
      </c>
      <c r="E13">
        <f t="shared" si="8"/>
        <v>-6.3000000000000043</v>
      </c>
      <c r="F13">
        <f>F6-F$8</f>
        <v>-11.8</v>
      </c>
      <c r="G13">
        <f t="shared" si="8"/>
        <v>-10.100000000000001</v>
      </c>
      <c r="H13">
        <f t="shared" si="8"/>
        <v>-4.6000000000000014</v>
      </c>
    </row>
    <row r="14" spans="1:25">
      <c r="A14" s="44" t="s">
        <v>28</v>
      </c>
      <c r="B14">
        <f t="shared" ref="B14:H14" si="9">B7-B$8</f>
        <v>-4.0000000000000036</v>
      </c>
      <c r="C14">
        <f t="shared" si="9"/>
        <v>0.10000000000000142</v>
      </c>
      <c r="D14">
        <f t="shared" si="9"/>
        <v>-0.60000000000000142</v>
      </c>
      <c r="E14">
        <f t="shared" si="9"/>
        <v>-8.6000000000000014</v>
      </c>
      <c r="F14">
        <f t="shared" si="9"/>
        <v>-9.6000000000000014</v>
      </c>
      <c r="G14">
        <f t="shared" si="9"/>
        <v>-9.1999999999999957</v>
      </c>
      <c r="H14">
        <f t="shared" si="9"/>
        <v>-7.7000000000000028</v>
      </c>
    </row>
    <row r="15" spans="1:25">
      <c r="A15" s="44" t="s">
        <v>231</v>
      </c>
    </row>
    <row r="16" spans="1:25">
      <c r="A16" s="44" t="s">
        <v>23</v>
      </c>
      <c r="B16">
        <f t="shared" ref="B16:H20" si="10">B10^2</f>
        <v>9.6099999999999639</v>
      </c>
      <c r="C16">
        <f t="shared" si="10"/>
        <v>18.490000000000038</v>
      </c>
      <c r="D16">
        <f t="shared" si="10"/>
        <v>64.000000000000114</v>
      </c>
      <c r="E16">
        <f t="shared" si="10"/>
        <v>14.439999999999978</v>
      </c>
      <c r="F16">
        <f t="shared" si="10"/>
        <v>47.609999999999978</v>
      </c>
      <c r="G16">
        <f t="shared" si="10"/>
        <v>33.64000000000005</v>
      </c>
      <c r="H16">
        <f t="shared" si="10"/>
        <v>7.8399999999999839</v>
      </c>
    </row>
    <row r="17" spans="1:13">
      <c r="A17" s="44" t="s">
        <v>24</v>
      </c>
      <c r="B17">
        <f t="shared" si="10"/>
        <v>29.159999999999986</v>
      </c>
      <c r="C17">
        <f t="shared" si="10"/>
        <v>9.6100000000000083</v>
      </c>
      <c r="D17">
        <f t="shared" si="10"/>
        <v>4.8400000000000123</v>
      </c>
      <c r="E17">
        <f t="shared" si="10"/>
        <v>16.809999999999953</v>
      </c>
      <c r="F17">
        <f t="shared" si="10"/>
        <v>60.839999999999954</v>
      </c>
      <c r="G17">
        <f t="shared" si="10"/>
        <v>24.009999999999987</v>
      </c>
      <c r="H17">
        <f t="shared" si="10"/>
        <v>2.8899999999999855</v>
      </c>
    </row>
    <row r="18" spans="1:13">
      <c r="A18" s="44" t="s">
        <v>25</v>
      </c>
      <c r="B18">
        <f t="shared" si="10"/>
        <v>15.209999999999988</v>
      </c>
      <c r="C18">
        <f t="shared" si="10"/>
        <v>49</v>
      </c>
      <c r="D18">
        <f t="shared" si="10"/>
        <v>153.75999999999996</v>
      </c>
      <c r="E18">
        <f t="shared" si="10"/>
        <v>9</v>
      </c>
      <c r="F18">
        <f t="shared" si="10"/>
        <v>2.8900000000000095</v>
      </c>
      <c r="G18">
        <f t="shared" si="10"/>
        <v>16</v>
      </c>
      <c r="H18">
        <f t="shared" si="10"/>
        <v>24.009999999999987</v>
      </c>
    </row>
    <row r="19" spans="1:13">
      <c r="A19" s="44" t="s">
        <v>27</v>
      </c>
      <c r="B19">
        <f t="shared" si="10"/>
        <v>90.250000000000071</v>
      </c>
      <c r="C19">
        <f t="shared" si="10"/>
        <v>112.36000000000003</v>
      </c>
      <c r="D19">
        <f t="shared" si="10"/>
        <v>292.41000000000003</v>
      </c>
      <c r="E19">
        <f t="shared" si="10"/>
        <v>39.690000000000055</v>
      </c>
      <c r="F19">
        <f t="shared" si="10"/>
        <v>139.24</v>
      </c>
      <c r="G19">
        <f t="shared" si="10"/>
        <v>102.01000000000003</v>
      </c>
      <c r="H19">
        <f t="shared" si="10"/>
        <v>21.160000000000014</v>
      </c>
    </row>
    <row r="20" spans="1:13">
      <c r="A20" s="44" t="s">
        <v>28</v>
      </c>
      <c r="B20">
        <f t="shared" si="10"/>
        <v>16.000000000000028</v>
      </c>
      <c r="C20">
        <f t="shared" si="10"/>
        <v>1.0000000000000285E-2</v>
      </c>
      <c r="D20">
        <f t="shared" si="10"/>
        <v>0.36000000000000171</v>
      </c>
      <c r="E20">
        <f t="shared" si="10"/>
        <v>73.960000000000022</v>
      </c>
      <c r="F20">
        <f t="shared" si="10"/>
        <v>92.160000000000025</v>
      </c>
      <c r="G20">
        <f t="shared" si="10"/>
        <v>84.639999999999915</v>
      </c>
      <c r="H20">
        <f t="shared" si="10"/>
        <v>59.290000000000042</v>
      </c>
    </row>
    <row r="21" spans="1:13">
      <c r="A21" s="44" t="s">
        <v>172</v>
      </c>
      <c r="B21" s="49">
        <f>SQRT(SUM(B16:B20)/5)</f>
        <v>5.6609186533636047</v>
      </c>
      <c r="C21" s="49">
        <f t="shared" ref="C21:H21" si="11">SQRT(SUM(C16:C20)/5)</f>
        <v>6.1558102634827874</v>
      </c>
      <c r="D21" s="49">
        <f>SQRT(SUM(D16:D20)/5)</f>
        <v>10.152536628843061</v>
      </c>
      <c r="E21" s="49">
        <f t="shared" si="11"/>
        <v>5.547972602672079</v>
      </c>
      <c r="F21" s="49">
        <f t="shared" si="11"/>
        <v>8.279371956857597</v>
      </c>
      <c r="G21" s="49">
        <f t="shared" si="11"/>
        <v>7.2152616030189787</v>
      </c>
      <c r="H21" s="49">
        <f t="shared" si="11"/>
        <v>4.7997916621453474</v>
      </c>
    </row>
    <row r="24" spans="1:13" s="54" customFormat="1">
      <c r="A24" s="54" t="s">
        <v>233</v>
      </c>
    </row>
    <row r="26" spans="1:13">
      <c r="A26" t="s">
        <v>84</v>
      </c>
      <c r="B26" t="s">
        <v>32</v>
      </c>
      <c r="C26" t="s">
        <v>204</v>
      </c>
      <c r="D26" t="s">
        <v>205</v>
      </c>
      <c r="E26" t="s">
        <v>141</v>
      </c>
      <c r="F26" t="s">
        <v>37</v>
      </c>
      <c r="I26" s="55" t="s">
        <v>234</v>
      </c>
      <c r="J26" s="55" t="s">
        <v>236</v>
      </c>
      <c r="L26" t="s">
        <v>84</v>
      </c>
      <c r="M26" t="s">
        <v>234</v>
      </c>
    </row>
    <row r="27" spans="1:13">
      <c r="A27" s="44" t="s">
        <v>23</v>
      </c>
      <c r="B27" s="49">
        <v>0.54761429898980019</v>
      </c>
      <c r="C27">
        <f>(N4+O4)/2</f>
        <v>0.74325373253779503</v>
      </c>
      <c r="D27">
        <f>(Q4+P4)/2</f>
        <v>0.75916571809889399</v>
      </c>
      <c r="E27">
        <v>0.80385165765482336</v>
      </c>
      <c r="F27">
        <v>0.58335865326881509</v>
      </c>
      <c r="I27">
        <f>B27*0.17+C27*0.25+D27*0.16+E27*0.25+F27*0.17</f>
        <v>0.70050826432794233</v>
      </c>
      <c r="J27">
        <f>_xlfn.RANK.AVG(I27,I$27:I$31,1 )</f>
        <v>5</v>
      </c>
      <c r="L27" s="44" t="s">
        <v>23</v>
      </c>
      <c r="M27">
        <v>0.70050826432794233</v>
      </c>
    </row>
    <row r="28" spans="1:13">
      <c r="A28" s="44" t="s">
        <v>24</v>
      </c>
      <c r="B28" s="49">
        <v>0.95390877888546</v>
      </c>
      <c r="C28">
        <f t="shared" ref="C28:C31" si="12">(N5+O5)/2</f>
        <v>0.36014194196523469</v>
      </c>
      <c r="D28">
        <f t="shared" ref="D28:D31" si="13">(Q5+P5)/2</f>
        <v>0.84055457033671011</v>
      </c>
      <c r="E28">
        <v>0.67911605560493626</v>
      </c>
      <c r="F28">
        <v>0.35418203948463717</v>
      </c>
      <c r="I28">
        <f t="shared" ref="I28:I31" si="14">B28*0.17+C28*0.25+D28*0.16+E28*0.25+F28*0.17</f>
        <v>0.61667866976933294</v>
      </c>
      <c r="J28">
        <f t="shared" ref="J28:J30" si="15">_xlfn.RANK.AVG(I28,I$27:I$31,1 )</f>
        <v>4</v>
      </c>
      <c r="L28" s="44" t="s">
        <v>24</v>
      </c>
      <c r="M28">
        <v>0.61667866976933294</v>
      </c>
    </row>
    <row r="29" spans="1:13">
      <c r="A29" s="44" t="s">
        <v>25</v>
      </c>
      <c r="B29" s="49">
        <v>0.68893411808394323</v>
      </c>
      <c r="C29">
        <f>(N6+O6)/2</f>
        <v>-1.1792533508564285</v>
      </c>
      <c r="D29">
        <f t="shared" si="13"/>
        <v>0.37303382723709155</v>
      </c>
      <c r="E29">
        <v>0.55438045355505017</v>
      </c>
      <c r="F29">
        <v>1.0208776432204272</v>
      </c>
      <c r="I29">
        <f t="shared" si="14"/>
        <v>0.19413518745433306</v>
      </c>
      <c r="J29">
        <f t="shared" si="15"/>
        <v>3</v>
      </c>
      <c r="L29" s="44" t="s">
        <v>25</v>
      </c>
      <c r="M29">
        <v>0.19413518745433306</v>
      </c>
    </row>
    <row r="30" spans="1:13">
      <c r="A30" s="44" t="s">
        <v>27</v>
      </c>
      <c r="B30" s="49">
        <v>-1.67817285174294</v>
      </c>
      <c r="C30">
        <f t="shared" si="12"/>
        <v>-1.7031292702082994</v>
      </c>
      <c r="D30">
        <f t="shared" si="13"/>
        <v>-1.2803894126788549</v>
      </c>
      <c r="E30">
        <v>-1.399810645226502</v>
      </c>
      <c r="F30">
        <v>-0.95837493037019739</v>
      </c>
      <c r="I30">
        <f t="shared" si="14"/>
        <v>-1.4288104078465507</v>
      </c>
      <c r="J30">
        <f t="shared" si="15"/>
        <v>1</v>
      </c>
      <c r="L30" s="44" t="s">
        <v>28</v>
      </c>
      <c r="M30">
        <v>-0.93373741519195008</v>
      </c>
    </row>
    <row r="31" spans="1:13">
      <c r="A31" s="44" t="s">
        <v>28</v>
      </c>
      <c r="B31" s="49">
        <v>-0.70659909547071187</v>
      </c>
      <c r="C31">
        <f t="shared" si="12"/>
        <v>-2.1426857877191612E-2</v>
      </c>
      <c r="D31">
        <f t="shared" si="13"/>
        <v>-1.3548120205956624</v>
      </c>
      <c r="E31">
        <v>-1.2750750431766149</v>
      </c>
      <c r="F31">
        <v>-1.6042362964892436</v>
      </c>
      <c r="I31">
        <f t="shared" si="14"/>
        <v>-0.93373741519195008</v>
      </c>
      <c r="J31">
        <f>_xlfn.RANK.AVG(I31,I$27:I$31,1 )</f>
        <v>2</v>
      </c>
      <c r="L31" s="44" t="s">
        <v>27</v>
      </c>
      <c r="M31">
        <v>-1.4288104078465507</v>
      </c>
    </row>
    <row r="33" spans="1:9" s="54" customFormat="1">
      <c r="A33" s="54" t="s">
        <v>235</v>
      </c>
    </row>
    <row r="34" spans="1:9">
      <c r="B34" s="2" t="s">
        <v>82</v>
      </c>
      <c r="C34" t="s">
        <v>236</v>
      </c>
      <c r="E34" t="s">
        <v>239</v>
      </c>
    </row>
    <row r="35" spans="1:9">
      <c r="A35" t="s">
        <v>23</v>
      </c>
      <c r="B35" s="1">
        <v>49.4</v>
      </c>
      <c r="C35" s="1">
        <f>_xlfn.RANK.AVG(B35,B$35:B$39,1)</f>
        <v>5</v>
      </c>
      <c r="E35" s="1">
        <f>(C35-J27)^2</f>
        <v>0</v>
      </c>
      <c r="G35" t="s">
        <v>219</v>
      </c>
      <c r="H35">
        <f>1-((6*E40)/(5*5^2-1))</f>
        <v>1</v>
      </c>
    </row>
    <row r="36" spans="1:9">
      <c r="A36" t="s">
        <v>24</v>
      </c>
      <c r="B36" s="1">
        <v>48.7</v>
      </c>
      <c r="C36" s="1">
        <f t="shared" ref="C36:C39" si="16">_xlfn.RANK.AVG(B36,B$35:B$39,1)</f>
        <v>4</v>
      </c>
      <c r="E36" s="1">
        <f t="shared" ref="E36:E38" si="17">(C36-J28)^2</f>
        <v>0</v>
      </c>
      <c r="G36" t="s">
        <v>220</v>
      </c>
      <c r="H36">
        <f>1/2 + (2-1)/2 *1</f>
        <v>1</v>
      </c>
    </row>
    <row r="37" spans="1:9">
      <c r="A37" t="s">
        <v>25</v>
      </c>
      <c r="B37" s="1">
        <v>45.7</v>
      </c>
      <c r="C37" s="1">
        <f t="shared" si="16"/>
        <v>3</v>
      </c>
      <c r="E37" s="1">
        <f t="shared" si="17"/>
        <v>0</v>
      </c>
      <c r="G37" t="s">
        <v>241</v>
      </c>
    </row>
    <row r="38" spans="1:9">
      <c r="A38" t="s">
        <v>27</v>
      </c>
      <c r="B38" s="1">
        <v>43</v>
      </c>
      <c r="C38" s="1">
        <f t="shared" si="16"/>
        <v>1</v>
      </c>
      <c r="E38" s="1">
        <f t="shared" si="17"/>
        <v>0</v>
      </c>
    </row>
    <row r="39" spans="1:9">
      <c r="A39" t="s">
        <v>28</v>
      </c>
      <c r="B39" s="1">
        <v>45.6</v>
      </c>
      <c r="C39" s="1">
        <f t="shared" si="16"/>
        <v>2</v>
      </c>
      <c r="E39" s="1">
        <f>(C39-J31)^2</f>
        <v>0</v>
      </c>
    </row>
    <row r="40" spans="1:9">
      <c r="C40" s="1"/>
      <c r="D40" t="s">
        <v>240</v>
      </c>
      <c r="E40" s="1">
        <f>SUM(E35:E39)</f>
        <v>0</v>
      </c>
    </row>
    <row r="41" spans="1:9">
      <c r="B41" s="1"/>
      <c r="C41" s="1"/>
    </row>
    <row r="43" spans="1:9">
      <c r="A43" t="s">
        <v>84</v>
      </c>
      <c r="B43" t="s">
        <v>234</v>
      </c>
      <c r="D43" t="s">
        <v>13</v>
      </c>
      <c r="E43" s="49">
        <v>0.95312356761776096</v>
      </c>
      <c r="G43">
        <v>1</v>
      </c>
      <c r="H43" t="s">
        <v>6</v>
      </c>
      <c r="I43" s="1">
        <v>57</v>
      </c>
    </row>
    <row r="44" spans="1:9">
      <c r="A44" s="44" t="s">
        <v>23</v>
      </c>
      <c r="B44">
        <v>0.70050826432794233</v>
      </c>
      <c r="D44" t="s">
        <v>9</v>
      </c>
      <c r="E44" s="49">
        <v>0.94937661722728395</v>
      </c>
      <c r="G44">
        <v>2</v>
      </c>
      <c r="H44" t="s">
        <v>87</v>
      </c>
      <c r="I44" s="1">
        <v>56.4</v>
      </c>
    </row>
    <row r="45" spans="1:9">
      <c r="A45" s="44" t="s">
        <v>24</v>
      </c>
      <c r="B45">
        <v>0.61667866976933294</v>
      </c>
      <c r="D45" t="s">
        <v>3</v>
      </c>
      <c r="E45" s="49">
        <v>0.94780577837106061</v>
      </c>
      <c r="G45">
        <v>3</v>
      </c>
      <c r="H45" t="s">
        <v>2</v>
      </c>
      <c r="I45" s="1">
        <v>50.5</v>
      </c>
    </row>
    <row r="46" spans="1:9">
      <c r="A46" s="44" t="s">
        <v>25</v>
      </c>
      <c r="B46">
        <v>0.19413518745433306</v>
      </c>
      <c r="D46" t="s">
        <v>7</v>
      </c>
      <c r="E46" s="49">
        <v>0.7098534591590332</v>
      </c>
      <c r="G46">
        <v>4</v>
      </c>
      <c r="H46" t="s">
        <v>14</v>
      </c>
      <c r="I46" s="1">
        <v>50.5</v>
      </c>
    </row>
    <row r="47" spans="1:9">
      <c r="A47" s="44" t="s">
        <v>28</v>
      </c>
      <c r="B47">
        <v>-0.93373741519195008</v>
      </c>
      <c r="D47" t="s">
        <v>87</v>
      </c>
      <c r="E47" s="49">
        <v>0.70639452403432446</v>
      </c>
      <c r="G47">
        <v>5</v>
      </c>
      <c r="H47" t="s">
        <v>0</v>
      </c>
      <c r="I47" s="1">
        <v>50.1</v>
      </c>
    </row>
    <row r="48" spans="1:9">
      <c r="A48" s="44" t="s">
        <v>27</v>
      </c>
      <c r="B48">
        <v>-1.4288104078465507</v>
      </c>
      <c r="D48" t="s">
        <v>12</v>
      </c>
      <c r="E48" s="49">
        <v>0.62537317533496362</v>
      </c>
      <c r="G48">
        <v>6</v>
      </c>
      <c r="H48" t="s">
        <v>21</v>
      </c>
      <c r="I48" s="1">
        <v>49</v>
      </c>
    </row>
    <row r="49" spans="4:9">
      <c r="D49" t="s">
        <v>8</v>
      </c>
      <c r="E49" s="49">
        <v>0.53043842365781535</v>
      </c>
      <c r="G49">
        <v>7</v>
      </c>
      <c r="H49" t="s">
        <v>3</v>
      </c>
      <c r="I49" s="1">
        <v>48.8</v>
      </c>
    </row>
    <row r="50" spans="4:9">
      <c r="D50" t="s">
        <v>10</v>
      </c>
      <c r="E50" s="49">
        <v>0.43931813767122158</v>
      </c>
      <c r="G50">
        <v>8</v>
      </c>
      <c r="H50" t="s">
        <v>7</v>
      </c>
      <c r="I50" s="1">
        <v>48.3</v>
      </c>
    </row>
    <row r="51" spans="4:9">
      <c r="D51" t="s">
        <v>11</v>
      </c>
      <c r="E51" s="49">
        <v>0.39975896665928368</v>
      </c>
      <c r="G51">
        <v>9</v>
      </c>
      <c r="H51" t="s">
        <v>8</v>
      </c>
      <c r="I51" s="1">
        <v>48.2</v>
      </c>
    </row>
    <row r="52" spans="4:9">
      <c r="D52" t="s">
        <v>0</v>
      </c>
      <c r="E52" s="49">
        <v>0.32932340801705501</v>
      </c>
      <c r="G52">
        <v>10</v>
      </c>
      <c r="H52" t="s">
        <v>15</v>
      </c>
      <c r="I52" s="1">
        <v>47.6</v>
      </c>
    </row>
    <row r="53" spans="4:9">
      <c r="D53" t="s">
        <v>4</v>
      </c>
      <c r="E53" s="49">
        <v>0.18828117589548854</v>
      </c>
      <c r="G53">
        <v>11</v>
      </c>
      <c r="H53" t="s">
        <v>19</v>
      </c>
      <c r="I53" s="1">
        <v>47</v>
      </c>
    </row>
    <row r="54" spans="4:9">
      <c r="D54" t="s">
        <v>15</v>
      </c>
      <c r="E54" s="49">
        <v>-7.1156341438147863E-2</v>
      </c>
      <c r="G54">
        <v>12</v>
      </c>
      <c r="H54" t="s">
        <v>10</v>
      </c>
      <c r="I54" s="1">
        <v>46.7</v>
      </c>
    </row>
    <row r="55" spans="4:9">
      <c r="D55" t="s">
        <v>2</v>
      </c>
      <c r="E55" s="49">
        <v>-0.12000626857622519</v>
      </c>
      <c r="G55">
        <v>13</v>
      </c>
      <c r="H55" t="s">
        <v>9</v>
      </c>
      <c r="I55" s="1">
        <v>46.5</v>
      </c>
    </row>
    <row r="56" spans="4:9">
      <c r="D56" t="s">
        <v>14</v>
      </c>
      <c r="E56" s="49">
        <v>-0.21558624511056382</v>
      </c>
      <c r="G56">
        <v>14</v>
      </c>
      <c r="H56" t="s">
        <v>11</v>
      </c>
      <c r="I56" s="1">
        <v>45.5</v>
      </c>
    </row>
    <row r="57" spans="4:9">
      <c r="D57" t="s">
        <v>21</v>
      </c>
      <c r="E57" s="49">
        <v>-0.52046852128184351</v>
      </c>
      <c r="G57">
        <v>15</v>
      </c>
      <c r="H57" t="s">
        <v>12</v>
      </c>
      <c r="I57" s="1">
        <v>45.5</v>
      </c>
    </row>
    <row r="58" spans="4:9">
      <c r="D58" t="s">
        <v>16</v>
      </c>
      <c r="E58" s="49">
        <v>-1.0553848233233003</v>
      </c>
      <c r="G58">
        <v>16</v>
      </c>
      <c r="H58" t="s">
        <v>13</v>
      </c>
      <c r="I58" s="1">
        <v>45.2</v>
      </c>
    </row>
    <row r="59" spans="4:9">
      <c r="D59" t="s">
        <v>18</v>
      </c>
      <c r="E59" s="49">
        <v>-1.0786196689438503</v>
      </c>
      <c r="G59">
        <v>17</v>
      </c>
      <c r="H59" t="s">
        <v>20</v>
      </c>
      <c r="I59" s="1">
        <v>44.5</v>
      </c>
    </row>
    <row r="60" spans="4:9">
      <c r="D60" t="s">
        <v>19</v>
      </c>
      <c r="E60" s="49">
        <v>-1.2601795085435517</v>
      </c>
      <c r="G60">
        <v>18</v>
      </c>
      <c r="H60" t="s">
        <v>17</v>
      </c>
      <c r="I60" s="1">
        <v>44.2</v>
      </c>
    </row>
    <row r="61" spans="4:9">
      <c r="D61" t="s">
        <v>17</v>
      </c>
      <c r="E61" s="49">
        <v>-1.3284760462081611</v>
      </c>
      <c r="G61">
        <v>19</v>
      </c>
      <c r="H61" t="s">
        <v>18</v>
      </c>
      <c r="I61" s="1">
        <v>43.5</v>
      </c>
    </row>
    <row r="62" spans="4:9">
      <c r="D62" t="s">
        <v>20</v>
      </c>
      <c r="E62" s="49">
        <v>-1.701673355590303</v>
      </c>
      <c r="G62">
        <v>20</v>
      </c>
      <c r="H62" t="s">
        <v>16</v>
      </c>
      <c r="I62" s="1">
        <v>38.700000000000003</v>
      </c>
    </row>
  </sheetData>
  <sortState xmlns:xlrd2="http://schemas.microsoft.com/office/spreadsheetml/2017/richdata2" ref="L27:M31">
    <sortCondition descending="1" ref="M27:M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9</vt:i4>
      </vt:variant>
    </vt:vector>
  </HeadingPairs>
  <TitlesOfParts>
    <vt:vector size="9" baseType="lpstr">
      <vt:lpstr>Indicatori</vt:lpstr>
      <vt:lpstr>Lavoro_e_conciliazione</vt:lpstr>
      <vt:lpstr>Relazioni_sociali</vt:lpstr>
      <vt:lpstr>Istruzione_e_formazione</vt:lpstr>
      <vt:lpstr>indicatori approcci </vt:lpstr>
      <vt:lpstr>calcolo indicatore</vt:lpstr>
      <vt:lpstr>Variabili</vt:lpstr>
      <vt:lpstr>confronto soddisfazione vita</vt:lpstr>
      <vt:lpstr>macroaree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Alessandra Tinto</dc:creator>
  <cp:lastModifiedBy>s.menegozzo@campus.unimib.it</cp:lastModifiedBy>
  <dcterms:created xsi:type="dcterms:W3CDTF">2025-11-10T15:53:59Z</dcterms:created>
  <dcterms:modified xsi:type="dcterms:W3CDTF">2026-04-10T19:04:53Z</dcterms:modified>
</cp:coreProperties>
</file>